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rsener/Desktop/Campus-Application/"/>
    </mc:Choice>
  </mc:AlternateContent>
  <xr:revisionPtr revIDLastSave="0" documentId="13_ncr:1_{FE4AD010-1DE8-564D-9344-F89B04D13F65}" xr6:coauthVersionLast="47" xr6:coauthVersionMax="47" xr10:uidLastSave="{00000000-0000-0000-0000-000000000000}"/>
  <bookViews>
    <workbookView xWindow="0" yWindow="0" windowWidth="28800" windowHeight="18000" xr2:uid="{EDF38AB8-B67A-6545-84A8-C231FAB8949A}"/>
  </bookViews>
  <sheets>
    <sheet name="Initial values" sheetId="7" r:id="rId1"/>
    <sheet name="Initial values season" sheetId="1" r:id="rId2"/>
    <sheet name="Advancements3" sheetId="2" r:id="rId3"/>
    <sheet name="Advancements2" sheetId="5" r:id="rId4"/>
    <sheet name="Extras1" sheetId="4" r:id="rId5"/>
    <sheet name="Extras2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3" i="3" l="1"/>
  <c r="C11" i="7"/>
  <c r="D11" i="7"/>
  <c r="E11" i="7"/>
  <c r="F11" i="7"/>
  <c r="G11" i="7"/>
  <c r="B11" i="7"/>
  <c r="G12" i="7"/>
  <c r="F12" i="7"/>
  <c r="E12" i="7"/>
  <c r="D12" i="7"/>
  <c r="C12" i="7"/>
  <c r="B12" i="7"/>
  <c r="C6" i="5"/>
  <c r="B6" i="5"/>
  <c r="C5" i="5"/>
  <c r="B5" i="5"/>
  <c r="C6" i="2"/>
  <c r="D6" i="2"/>
  <c r="C5" i="2"/>
  <c r="D5" i="2"/>
  <c r="B5" i="2"/>
  <c r="B6" i="2"/>
  <c r="G13" i="1"/>
  <c r="F13" i="1"/>
  <c r="C13" i="1"/>
  <c r="B13" i="1"/>
  <c r="D13" i="1"/>
  <c r="E13" i="1"/>
  <c r="L72" i="3"/>
  <c r="K73" i="3"/>
  <c r="K72" i="3"/>
  <c r="K66" i="3"/>
  <c r="D65" i="3"/>
  <c r="E65" i="3"/>
  <c r="F65" i="3"/>
  <c r="G65" i="3"/>
  <c r="H65" i="3"/>
  <c r="I65" i="3"/>
  <c r="J65" i="3"/>
  <c r="D66" i="3"/>
  <c r="E66" i="3"/>
  <c r="F66" i="3"/>
  <c r="G66" i="3"/>
  <c r="H66" i="3"/>
  <c r="I66" i="3"/>
  <c r="J66" i="3"/>
  <c r="D67" i="3"/>
  <c r="E67" i="3"/>
  <c r="F67" i="3"/>
  <c r="G67" i="3"/>
  <c r="H67" i="3"/>
  <c r="I67" i="3"/>
  <c r="J67" i="3"/>
  <c r="C66" i="3"/>
  <c r="C67" i="3"/>
  <c r="C65" i="3"/>
  <c r="J58" i="3"/>
  <c r="I58" i="3" l="1"/>
  <c r="H58" i="3" l="1"/>
  <c r="G58" i="3" l="1"/>
  <c r="F58" i="3" l="1"/>
  <c r="E58" i="3" l="1"/>
  <c r="D58" i="3" l="1"/>
  <c r="C58" i="3" l="1"/>
  <c r="F50" i="3" l="1"/>
  <c r="D47" i="3" s="1"/>
  <c r="C2" i="5"/>
  <c r="B2" i="5"/>
  <c r="C114" i="4"/>
  <c r="E114" i="4"/>
  <c r="F114" i="4"/>
  <c r="J114" i="4"/>
  <c r="I114" i="4"/>
  <c r="H114" i="4"/>
  <c r="G114" i="4"/>
  <c r="D114" i="4"/>
  <c r="E83" i="4"/>
  <c r="D83" i="4"/>
  <c r="C83" i="4"/>
  <c r="B83" i="4"/>
  <c r="K77" i="4" l="1"/>
  <c r="K78" i="4"/>
  <c r="K79" i="4"/>
  <c r="K80" i="4"/>
  <c r="K81" i="4"/>
  <c r="K82" i="4"/>
  <c r="K83" i="4"/>
  <c r="K76" i="4"/>
  <c r="C95" i="4"/>
  <c r="E82" i="4" l="1"/>
  <c r="E81" i="4"/>
  <c r="E80" i="4"/>
  <c r="E79" i="4"/>
  <c r="E78" i="4"/>
  <c r="E77" i="4"/>
  <c r="D82" i="4"/>
  <c r="D81" i="4"/>
  <c r="D80" i="4"/>
  <c r="D79" i="4"/>
  <c r="D78" i="4"/>
  <c r="C82" i="4"/>
  <c r="C81" i="4"/>
  <c r="C80" i="4"/>
  <c r="C79" i="4"/>
  <c r="C78" i="4"/>
  <c r="F83" i="4"/>
  <c r="B82" i="4"/>
  <c r="F82" i="4" s="1"/>
  <c r="B81" i="4"/>
  <c r="F81" i="4" s="1"/>
  <c r="B80" i="4"/>
  <c r="F80" i="4" s="1"/>
  <c r="B79" i="4"/>
  <c r="B78" i="4"/>
  <c r="D77" i="4"/>
  <c r="C77" i="4"/>
  <c r="B77" i="4"/>
  <c r="F77" i="4" s="1"/>
  <c r="E76" i="4"/>
  <c r="D76" i="4"/>
  <c r="C76" i="4"/>
  <c r="B76" i="4"/>
  <c r="D48" i="3"/>
  <c r="D49" i="3" s="1"/>
  <c r="D50" i="3" s="1"/>
  <c r="D51" i="3" s="1"/>
  <c r="D52" i="3" s="1"/>
  <c r="E46" i="3"/>
  <c r="E45" i="3"/>
  <c r="E44" i="3"/>
  <c r="E43" i="3"/>
  <c r="E42" i="3"/>
  <c r="E41" i="3"/>
  <c r="E40" i="3"/>
  <c r="E39" i="3"/>
  <c r="E38" i="3"/>
  <c r="E37" i="3"/>
  <c r="E36" i="3"/>
  <c r="E35" i="3"/>
  <c r="F49" i="3" s="1"/>
  <c r="F79" i="4" l="1"/>
  <c r="F78" i="4"/>
  <c r="F76" i="4"/>
</calcChain>
</file>

<file path=xl/sharedStrings.xml><?xml version="1.0" encoding="utf-8"?>
<sst xmlns="http://schemas.openxmlformats.org/spreadsheetml/2006/main" count="291" uniqueCount="126">
  <si>
    <t>Metrics</t>
  </si>
  <si>
    <t>Initial Cost</t>
  </si>
  <si>
    <t>Initial Efficiency</t>
  </si>
  <si>
    <t>Initial Emission</t>
  </si>
  <si>
    <t>Periodic Electricity Production</t>
  </si>
  <si>
    <t>Periodic Thermal Production</t>
  </si>
  <si>
    <t>Probabilities</t>
  </si>
  <si>
    <t>Cost Multiplier</t>
  </si>
  <si>
    <t>Efficiency Multiplier</t>
  </si>
  <si>
    <t>Emission Multiplier</t>
  </si>
  <si>
    <t>Cost Ratio</t>
  </si>
  <si>
    <t>Efficiency Ratio</t>
  </si>
  <si>
    <t>Scenario1</t>
  </si>
  <si>
    <t>Scenario2</t>
  </si>
  <si>
    <t>Scenario3</t>
  </si>
  <si>
    <t>0,0,0,0</t>
  </si>
  <si>
    <t>Lifetime</t>
  </si>
  <si>
    <t>Clean</t>
  </si>
  <si>
    <t>Segment</t>
  </si>
  <si>
    <t>Degradation rate</t>
  </si>
  <si>
    <t>Initial O&amp;M cost</t>
  </si>
  <si>
    <t>O&amp;M cost change by age</t>
  </si>
  <si>
    <t>Depreciation rate</t>
  </si>
  <si>
    <t>Initial tech salvage value</t>
  </si>
  <si>
    <t>Version1</t>
  </si>
  <si>
    <t>Version2</t>
  </si>
  <si>
    <t>Initial Amount</t>
  </si>
  <si>
    <t>O&amp;M costs</t>
  </si>
  <si>
    <t>OECD</t>
  </si>
  <si>
    <t>Non-OECD</t>
  </si>
  <si>
    <t>Year</t>
  </si>
  <si>
    <t>2022 USD/kW/year</t>
  </si>
  <si>
    <t>100m^2 çatı</t>
  </si>
  <si>
    <t>Alfas 550wp</t>
  </si>
  <si>
    <t>Output:</t>
  </si>
  <si>
    <t>jan</t>
  </si>
  <si>
    <t>feb</t>
  </si>
  <si>
    <t>march</t>
  </si>
  <si>
    <t>april</t>
  </si>
  <si>
    <t>2022 tmy</t>
  </si>
  <si>
    <t>2014 tmy</t>
  </si>
  <si>
    <t>15kWe 1 adet Huawei inverter</t>
  </si>
  <si>
    <t>88.33 m^2 module area</t>
  </si>
  <si>
    <t>17,2 string in paralel</t>
  </si>
  <si>
    <t>200m^2 çatı</t>
  </si>
  <si>
    <t>36kWe 1 adet Huawei inverter</t>
  </si>
  <si>
    <t>176.66 m^2 module area</t>
  </si>
  <si>
    <t>17,4 string in paralel</t>
  </si>
  <si>
    <t>Version3</t>
  </si>
  <si>
    <t>50kWe 2 adet Huawei inverter</t>
  </si>
  <si>
    <t>500m^2 çatı</t>
  </si>
  <si>
    <t>441.650 m^2 module area</t>
  </si>
  <si>
    <t>17,10 string in paralel</t>
  </si>
  <si>
    <t>Version4</t>
  </si>
  <si>
    <t>1000m^2 çatı</t>
  </si>
  <si>
    <t>50kWe 3 adet Huawei inverter</t>
  </si>
  <si>
    <t>794.97 m^2 module area</t>
  </si>
  <si>
    <t>17,18 string in paralel</t>
  </si>
  <si>
    <t>Version5</t>
  </si>
  <si>
    <t>Alfas BF 550wp</t>
  </si>
  <si>
    <t>Version6</t>
  </si>
  <si>
    <t>Version7</t>
  </si>
  <si>
    <t>Version8</t>
  </si>
  <si>
    <t>5000m^2 arazi</t>
  </si>
  <si>
    <t>10000m^2 arazi</t>
  </si>
  <si>
    <t>50000m^2 arazi</t>
  </si>
  <si>
    <t>100000m^2 arazi</t>
  </si>
  <si>
    <t>250kWe 2 adet Sungrow inverter</t>
  </si>
  <si>
    <t>2836.95 m^2 module area</t>
  </si>
  <si>
    <t>26,42 string in paralel</t>
  </si>
  <si>
    <t>250kWe 4 adet Sungrow inverter</t>
  </si>
  <si>
    <t>5673.9 m^2 module area</t>
  </si>
  <si>
    <t>26,84 string in paralel</t>
  </si>
  <si>
    <t>250kWe 20 adet Sungrow inverter</t>
  </si>
  <si>
    <t>26,420 string in paralel</t>
  </si>
  <si>
    <t>26,840 string in paralel</t>
  </si>
  <si>
    <t>250kWe 40 adet Sungrow inverter</t>
  </si>
  <si>
    <t>28369.5 m^2 module area</t>
  </si>
  <si>
    <t>56739 m^2 module area</t>
  </si>
  <si>
    <t>Q1</t>
  </si>
  <si>
    <t>Q2</t>
  </si>
  <si>
    <t>Q3</t>
  </si>
  <si>
    <t>Q4</t>
  </si>
  <si>
    <t>DC / kWp</t>
  </si>
  <si>
    <t>Cumulative rate of inflation from 2022 to 2024</t>
  </si>
  <si>
    <t>2024 O&amp;M Cost</t>
  </si>
  <si>
    <t>2024 USD/kW/year</t>
  </si>
  <si>
    <t>Cost 2024$</t>
  </si>
  <si>
    <t>O&amp;M Cost 2024$/year</t>
  </si>
  <si>
    <t>'''</t>
  </si>
  <si>
    <t>x[0,0] = 0.026959580160185622 x[1,0] = 0.15575314059699774</t>
  </si>
  <si>
    <t>x[0,1] = 0.04153221735783926 x[1,1] = 0.07096033911903228</t>
  </si>
  <si>
    <t>x[0,2] = 0.0008102735237576885 x[1,2] = 0.019499099067965004</t>
  </si>
  <si>
    <t>Geometric median: [0.02661469 0.1556113 ]</t>
  </si>
  <si>
    <t>Geometric median: [0.041811 0.07124102]</t>
  </si>
  <si>
    <t>Geometric median: [0.00039564 0.01923379]</t>
  </si>
  <si>
    <t>2 MPPT</t>
  </si>
  <si>
    <t>5141.32,8237.06,9591.94,5914.83</t>
  </si>
  <si>
    <t>10651.71,16658.78,19408.82,12082.68</t>
  </si>
  <si>
    <t>26553.22,41479.7,48327.1,30086.78</t>
  </si>
  <si>
    <t>47351.1,74607.7,86964.1,54097.2</t>
  </si>
  <si>
    <t>173325.4,275416.2,318744.5,195308.2</t>
  </si>
  <si>
    <t>346650.2,550832,637491,390616.1</t>
  </si>
  <si>
    <t>1733254,2754162,3187445,1953082</t>
  </si>
  <si>
    <t>3466502,5508320,6374910,3906161</t>
  </si>
  <si>
    <t>O&amp;M cost change by year</t>
  </si>
  <si>
    <t>Çatı 1</t>
  </si>
  <si>
    <t>Panel + Inverter</t>
  </si>
  <si>
    <t>Malzeme Toplam</t>
  </si>
  <si>
    <t>Malzeme + İşçilik Toplam</t>
  </si>
  <si>
    <t>Kar Dahil</t>
  </si>
  <si>
    <t>Çatı 2</t>
  </si>
  <si>
    <t>Çatı 3</t>
  </si>
  <si>
    <t>Çatı 4</t>
  </si>
  <si>
    <t>Arazi 1</t>
  </si>
  <si>
    <t>Arazi 2</t>
  </si>
  <si>
    <t>Arazi 3</t>
  </si>
  <si>
    <t>Arazi 4</t>
  </si>
  <si>
    <t>-0.00101,-0.00101,-0.00101,-0.00101,-0.00101,-0.00101,-0.00101,-0.00101,1.35608,10.9149,14.0494,14.85,14.85,10.8648,2.29057,6.59691,0.859699,-0.00101,-0.00101,-0.00101,-0.00101,-0.00101,-0.00101,-0.00101,-0.00101,-0.00101,-0.00101,-0.00101,-0.00101,-0.00101,-0.00101,-0.00101,1.36179,2.72916,14.0813,0.417781,7.83958,1.62569,2.61766,2.90226,0.0544206,-0.00101,-0.00101,-0.00101,-0.00101,-0.00101,-0.00101,-0.00101,-0.00101,-0.00101,-0.00101,-0.00101,-0.00101,-0.00101,-0.00101,-0.00101,0.0962002,2.55651,1.80339,14.85,7.99976,14.85,4.8982,1.74827,0.043163,-0.00101,-0.00101,-0.00101,-0.00101,-0.00101,-0.00101,-0.00101,-0.00101,-0.00101,-0.00101,-0.00101,-0.00101,-0.00101,-0.00101,-0.00101,7.40594,12.1087,14.85,14.85,14.85,14.85,12.5066,7.98821,1.60987,-0.00101,-0.00101,-0.00101,-0.00101,-0.00101,-0.00101,-0.00101,-0.00101,-0.00101,-0.00101,-0.00101,-0.00101,-0.00101,-0.00101,-0.00101,0.0832471,1.56227,0.468218,0.571665,0.61669,0.405802,0.302681,0.0815588,0.112071,-0.00101,-0.00101,-0.00101,-0.00101,-0.00101,-0.00101,-0.00101,-0.00101,-0.00101,-0.00101,-0.00101,-0.00101,-0.00101,-0.00101,-0.00101,0.32689,1.13551,1.89649,2.89749,8.10222,2.44897,1.39226,0.660964,0.101777,-0.00101,-0.00101,-0.00101,-0.00101,-0.00101,-0.00101,-0.00101,-0.00101,-0.00101,-0.00101,-0.00101,-0.00101,-0.00101,-0.00101,-0.00101,1.72452,12.6952,14.85,5.83938,6.47906,14.85,2.27895,0.84516,0.360762,-0.00101,-0.00101,-0.00101,-0.00101,-0.00101,-0.00101,-0.00101,-0.00101,-0.00101,-0.00101,-0.00101,-0.00101,-0.00101,-0.00101,-0.00101,0.504892,2.08184,7.67294,2.96635,8.18275,2.56009,3.46854,0.78426,0.210824,-0.00101,-0.00101,-0.00101,-0.00101,-0.00101,-0.00101,-0.00101,-0.00101,-0.00101,-0.00101,-0.00101,-0.00101,-0.00101,-0.00101,-0.00101,8.13504,13.2283,14.85,14.85,14.85,14.85,13.8515,9.04736,2.2342,-0.00101,-0.00101,-0.00101,-0.00101,-0.00101,-0.00101,-0.00101,-0.00101,-0.00101,-0.00101,-0.00101,-0.00101,-0.00101,-0.00101,-0.00101,0.378352,0.816962,6.93277,7.51772,4.44276,14.85,4.53694,8.57583,0.206998,-0.00101,-0.00101,-0.00101,-0.00101,-0.00101,-0.00101,-0.00101,-0.00101,-0.00101,-0.00101,-0.00101,-0.00101,-0.00101,-0.00101,-0.00101,0.272223,12.4547,3.44923,3.53075,2.21493,3.25805,5.02982,3.92536,0.0654339,-0.00101,-0.00101,-0.00101,-0.00101,-0.00101,-0.00101,-0.00101,-0.00101,-0.00101,-0.00101,-0.00101,-0.00101,-0.00101,-0.00101,-0.00101,0.255652,2.13477,10.4126,8.94302,2.0023,2.11788,1.01701,0.47656,0.181487,-0.00101,-0.00101,-0.00101,-0.00101,-0.00101,-0.00101,-0.00101,-0.00101,-0.00101,-0.00101,-0.00101,-0.00101,-0.00101,-0.00101,-0.00101,0.332087,1.98686,0.37302,0.460154,4.8157,2.2631,1.12628,0.599074,0.0882722,-0.00101,-0.00101,-0.00101,-0.00101,-0.00101,-0.00101,-0.00101,-0.00101,-0.00101,-0.00101,-0.00101,-0.00101,-0.00101,-0.00101,-0.00101,0.272528,3.34591,7.48761,1.1874,1.10904,2.9329,2.00801,0.631163,0.0544689,-0.00101,-0.00101,-0.00101,-0.00101,-0.00101,-0.00101,-0.00101,-0.00101,-0.00101,-0.00101,-0.00101,-0.00101,-0.00101,-0.00101,-0.00101,0.763457,0.986804,2.12067,2.53643,2.10356,1.45841,1.32926,0.679769,0.0539631,-0.00101,-0.00101,-0.00101,-0.00101,-0.00101,-0.00101,-0.00101,-0.00101,-0.00101,-0.00101,-0.00101,-0.00101,-0.00101,-0.00101,-0.00101,0.389611,1.25881,2.45474,3.29912,3.72103,12.2597,13.7568,9.45683,2.71658,-0.00101,-0.00101,-0.00101,-0.00101,-0.00101,-0.00101,-0.00101,-0.00101,-0.00101,-0.00101,-0.00101,-0.00101,-0.00101,-0.00101,-0.00101,0.144614,1.30719,2.53476,2.41746,5.30289,3.68315,13.3959,9.0298,0.313466,-0.00101,-0.00101,-0.00101,-0.00101,-0.00101,-0.00101,-0.00101,-0.00101,-0.00101,-0.00101,-0.00101,-0.00101,-0.00101,-0.00101,-0.00101,0.143965,13.3995,14.85,14.85,14.85,14.85,13.5387,9.24737,0.116607,-0.00101,-0.00101,-0.00101,-0.00101,-0.00101,-0.00101,-0.00101,-0.00101,-0.00101,-0.00101,-0.00101,-0.00101,-0.00101,-0.00101,-0.00101,0.127407,0.274951,1.22156,4.55371,4.58866,2.42027,3.62034,8.92953,0.379318,-0.00101,-0.00101,-0.00101,-0.00101,-0.00101,-0.00101,-0.00101,-0.00101,-0.00101,-0.00101,-0.00101,-0.00101,-0.00101,-0.00101,-0.00101,0.111112,2.14335,5.45443,14.85,14.85,14.85,12.9926,2.37887,0.514634,-0.00101,-0.00101,-0.00101,-0.00101,-0.00101,-0.00101,-0.00101,-0.00101,-0.00101,-0.00101,-0.00101,-0.00101,-0.00101,-0.00101,-0.00101,0.0816161,0.691178,2.13204,2.3356,2.54608,2.51994,1.92094,1.18725,0.432327,-0.00101,-0.00101,-0.00101,-0.00101,-0.00101,-0.00101,-0.00101,-0.00101,-0.00101,-0.00101,-0.00101,-0.00101,-0.00101,-0.00101,0.055509,1.31797,3.24343,4.13733,4.31649,4.50438,3.86216,2.43032,1.28024,0.357824,-0.00101,-0.00101,-0.00101,-0.00101,-0.00101,-0.00101,-0.00101,-0.00101,-0.00101,-0.00101,-0.00101,-0.00101,-0.00101,-0.00101,0.0438438,0.838847,2.10585,2.77817,3.94397,11.3414,5.53331,1.91586,1.31007,0.586368,-0.00101,-0.00101,-0.00101,-0.00101,-0.00101,-0.00101,-0.00101,-0.00101,-0.00101,-0.00101,-0.00101,-0.00101,-0.00101,-0.00101,0.0782607,1.16721,2.3036,3.30506,4.56371,5.55686,3.8335,2.06829,1.15443,0.397776,-0.00101,-0.00101,-0.00101,-0.00101,-0.00101,-0.00101,-0.00101,-0.00101,-0.00101,-0.00101,-0.00101,-0.00101,-0.00101,-0.00101,0.064462,0.729618,1.5215,1.96148,3.88709,2.45553,1.31929,0.797138,0.478151,0.190287,-0.00101,-0.00101,-0.00101,-0.00101,-0.00101,-0.00101,-0.00101,-0.00101,-0.00101,-0.00101,-0.00101,-0.00101,-0.00101,-0.00101,0.042803,0.569487,1.24723,2.51066,3.65481,3.54598,2.10441,0.940173,0.460721,0.168247,-0.00101,-0.00101,-0.00101,-0.00101,-0.00101,-0.00101,-0.00101,-0.00101,-0.00101,-0.00101,-0.00101,-0.00101,-0.00101,-0.00101,0.0554636,0.335274,0.640639,1.19846,1.96771,1.72123,1.23592,0.706383,0.303119,0.121329,-0.00101,-0.00101,-0.00101,-0.00101,-0.00101,-0.00101,-0.00101,-0.00101,-0.00101,-0.00101,-0.00101,-0.00101,-0.00101,-0.00101,0.117898,2.25166,6.49659,5.18131,4.90575,7.6026,10.1768,13.4206,9.4562,3.88974,-0.00101,-0.00101,-0.00101,-0.00101,-0.00101,-0.00101,-0.00101,-0.00101,-0.00101,-0.00101,-0.00101,-0.00101,-0.00101,-0.00101,0.368875,5.37425,9.95467,13.2966,14.85,14.85,14.85,13.603,7.41561,1.37809,-0.00101,-0.00101,-0.00101,-0.00101,-0.00101,-0.00101,-0.00101,-0.00101,-0.00101,-0.00101,-0.00101,-0.00101,-0.00101,-0.00101,0.108312,0.422188,0.388789,0.497774,0.622302,0.591333,0.649908,0.641004,0.516729,0.243528,-0.00101,-0.00101,-0.00101,-0.00101,-0.00101,-0.00101,-0.00101,-0.00101,-0.00101,-0.00101,-0.00101,-0.00101,-0.00101,-0.00101,0.072024,0.437315,0.800521,1.05417,0.708616,0.562367,0.664615,0.699618,0.516499,0.258139,-0.00101,-0.00101,-0.00101,-0.00101,-0.00101,-0.00101,-0.00101,-0.00101,-0.00101,-0.00101,-0.00101,-0.00101,-0.00101,-0.00101,0.0601537,0.423323,0.877945,1.15107,1.18782,1.14095,1.12931,0.810281,0.610002,0.235327,-0.00101,-0.00101,-0.00101,-0.00101,-0.00101,-0.00101,-0.00101,-0.00101,-0.00101,-0.00101,-0.00101,-0.00101,-0.00101,-0.00101,0.206004,4.07462,13.1192,14.85,14.85,14.85,14.85,13.8338,8.60373,2.80713,-0.00101,-0.00101,-0.00101,-0.00101,-0.00101,-0.00101,-0.00101,-0.00101,-0.00101,-0.00101,-0.00101,-0.00101,-0.00101,-0.00101,2.25082,8.48735,12.8609,14.85,14.85,14.85,14.85,13.5019,9.67497,4.48812,-0.00101,-0.00101,-0.00101,-0.00101,-0.00101,-0.00101,-0.00101,-0.00101,-0.00101,-0.00101,-0.00101,-0.00101,-0.00101,-0.00101,0.916796,7.03094,11.6063,14.2693,10.27,14.85,10.0222,13.628,9.82917,4.50686,-0.00101,-0.00101,-0.00101,-0.00101,-0.00101,-0.00101,-0.00101,-0.00101,-0.00101,-0.00101,-0.00101,-0.00101,-0.00101,-0.00101,0.0361465,8.59063,13.0483,14.85,14.85,14.85,14.85,13.7173,9.88152,4.64501,-0.00101,-0.00101,-0.00101,-0.00101,-0.00101,-0.00101,-0.00101,-0.00101,-0.00101,-0.00101,-0.00101,-0.00101,-0.00101,-0.00101,0.0363554,0.189485,0.938177,3.23113,0.250229,0.442905,0.626961,2.84148,4.30358,0.180441,-0.00101,-0.00101,-0.00101,-0.00101,-0.00101,-0.00101,-0.00101,-0.00101,-0.00101,-0.00101,-0.00101,-0.00101,-0.00101,-0.00101,0.0366237,0.12035,0.244656,0.539856,0.436107,0.878817,5.17112,3.20498,0.187079,0.0752639,-0.00101,-0.00101,-0.00101,-0.00101,-0.00101,-0.00101,-0.00101,-0.00101,-0.00101,-0.00101,-0.00101,-0.00101,-0.00101,-0.00101,0.0365583,0.119785,2.55119,1.31863,0.464582,3.54041,3.07214,3.64904,0.884476,0.0494634,-0.00101,-0.00101,-0.00101,-0.00101,-0.00101,-0.00101,-0.00101,-0.00101,-0.00101,-0.00101,-0.00101,-0.00101,-0.00101,-0.00101,0.0499743,0.092954,1.81925,0.833398,5.18516,3.31722,4.68797,3.16897,1.04116,0.295778,-0.00101,-0.00101,-0.00101,-0.00101,-0.00101,-0.00101,-0.00101,-0.00101,-0.00101,-0.00101,-0.00101,-0.00101,-0.00101,-0.00101,0.0502264,0.120738,0.259233,0.96279,2.13779,3.38453,2.43276,1.95184,5.68334,0.380972,-0.00101,-0.00101,-0.00101,-0.00101,-0.00101,-0.00101,-0.00101,-0.00101,-0.00101,-0.00101,-0.00101,-0.00101,-0.00101,-0.00101,0.117745,9.00733,6.2756,13.721,11.0611,14.85,10.6001,7.5299,4.66704,0.504284,-0.00101,-0.00101,-0.00101,-0.00101,-0.00101,-0.00101,-0.00101,-0.00101,-0.00101,-0.00101,-0.00101,-0.00101,-0.00101,-0.00101,0.050542,5.45874,13.5935,9.54077,14.85,11.3004,3.0791,3.44839,1.02235,0.702849,-0.00101,-0.00101,-0.00101,-0.00101,-0.00101,-0.00101,-0.00101,-0.00101,-0.00101,-0.00101,-0.00101,-0.00101,-0.00101,-0.00101,0.0504299,0.07886,2.47045,7.5791,4.5004,3.72226,5.42486,2.22952,0.270929,0.254032,-0.00101,-0.00101,-0.00101,-0.00101,-0.00101,-0.00101,-0.00101,-0.00101,-0.00101,-0.00101,-0.00101,-0.00101,-0.00101,-0.00101,0.0505093,0.0789953,0.94606,2.90685,4.71676,5.49009,4.80659,0.896528,0.105962,0.0640766,-0.00101,-0.00101,-0.00101,-0.00101,-0.00101,-0.00101,-0.00101,-0.00101,-0.00101,-0.00101,-0.00101,-0.00101,-0.00101,-0.00101,0.0646138,0.220803,0.476211,1.59797,3.69391,6.27706,5.93244,7.63818,4.40387,0.371519,-0.00101,-0.00101,-0.00101,-0.00101,-0.00101,-0.00101,-0.00101,-0.00101,-0.00101,-0.00101,-0.00101,-0.00101,-0.00101,-0.00101,0.0917558,0.149085,5.01528,9.38939,10.437,5.64326,2.50502,2.93355,2.71225,0.104895,-0.00101,-0.00101,-0.00101,-0.00101,-0.00101,-0.00101,-0.00101,-0.00101,-0.00101,-0.00101,-0.00101,-0.00101,-0.00101,-0.00101,2.73161,8.22964,12.3399,14.85,14.85,14.85,14.85,13.1621,9.63199,4.65339,-0.00101,-0.00101,-0.00101,-0.00101,-0.00101,-0.00101,-0.00101,-0.00101,-0.00101,-0.00101,-0.00101,-0.00101,-0.00101,-0.00101,2.35472,7.9275,12.1294,14.85,14.85,14.85,14.85,13.6751,10.1299,5.14223,-0.00101,-0.00101,-0.00101,-0.00101,-0.00101,-0.00101,-0.00101,-0.00101,-0.00101,-0.00101,-0.00101,-0.00101,-0.00101,-0.00101,3.32982,8.8384,12.953,14.85,10.7681,10.29,5.25458,4.74285,3.102,0.637639,-0.00101,-0.00101,-0.00101,-0.00101,-0.00101,-0.00101,-0.00101,-0.00101,-0.00101,-0.00101,-0.00101,-0.00101,-0.00101,-0.00101,3.36539,8.95946,13.1048,14.85,14.85,14.85,14.85,13.7376,10.0369,5.17536,0.0422372,-0.00101,-0.00101,-0.00101,-0.00101,-0.00101,-0.00101,-0.00101,-0.00101,-0.00101,-0.00101,-0.00101,-0.00101,-0.00101,3.36362,8.85451,12.8234,14.85,14.85,14.85,14.85,7.61817,9.42072,1.03072,0.0875167,-0.00101,-0.00101,-0.00101,-0.00101,-0.00101,-0.00101,-0.00101,-0.00101,-0.00101,-0.00101,-0.00101,-0.00101,-0.00101,2.50637,7.68749,12.1795,14.85,7.94439,6.17582,5.41393,5.47481,4.4631,1.08272,0.0537437,-0.00101,-0.00101,-0.00101,-0.00101,-0.00101,-0.00101,-0.00101,-0.00101,-0.00101,-0.00101,-0.00101,-0.00101,-0.00101,0.238614,0.337125,0.249915,1.62587,0.409507,0.51899,2.00806,0.734223,2.21024,1.18345,0.0426895,-0.00101,-0.00101,-0.00101,-0.00101,-0.00101,-0.00101,-0.00101,-0.00101,-0.00101,-0.00101,-0.00101,-0.00101,-0.00101,0.0499226,0.143572,0.249687,0.438056,2.91358,3.22012,2.99711,0.313908,0.583085,0.0491754,0.0425404,-0.00101,-0.00101,-0.00101,-0.00101,-0.00101,-0.00101,-0.00101,-0.00101,-0.00101,-0.00101,-0.00101,-0.00101,-0.00101,3.16563,2.49521,5.33287,6.47515,3.19714,8.58041,9.03074,7.51018,9.16442,4.4818,0.145528,-0.00101,-0.00101,-0.00101,-0.00101,-0.00101,-0.00101,-0.00101,-0.00101,-0.00101,-0.00101,-0.00101,-0.00101,-0.00101,0.0498205,0.869395,8.88592,14.2581,13.2476,12.9877,14.7747,7.74302,4.28124,0.738975,0.0988527,-0.00101,-0.00101,-0.00101,-0.00101,-0.00101,-0.00101,-0.00101,-0.00101,-0.00101,-0.00101,-0.00101,-0.00101,-0.00101,0.0520874,0.88579,6.38077,5.75272,7.61181,5.19322,4.47824,2.13081,0.148464,0.540952,0.0775228,-0.00101,-0.00101,-0.00101,-0.00101,-0.00101,-0.00101,-0.00101,-0.00101,-0.00101,-0.00101,-0.00101,-0.00101,-0.00101,0.0526015,2.51476,5.33611,3.78801,1.7023,9.44339,4.63265,4.78221,4.22834,2.01155,0.160457,-0.00101,-0.00101,-0.00101,-0.00101,-0.00101,-0.00101,-0.00101,-0.00101,-0.00101,-0.00101,-0.00101,-0.00101,-0.00101,0.0363914,3.27092,11.5616,14.3148,14.85,10.8193,6.62301,7.31478,3.80412,0.0987277,0.0307436,-0.00101,-0.00101,-0.00101,-0.00101,-0.00101,-0.00101,-0.00101,-0.00101,-0.00101,-0.00101,-0.00101,-0.00101,-0.00101,0.0620364,0.153159,1.95049,2.00355,3.32355,8.06565,8.7036,6.91986,4.45861,0.100218,0.0751223,-0.00101,-0.00101,-0.00101,-0.00101,-0.00101,-0.00101,-0.00101,-0.00101,-0.00101,-0.00101,-0.00101,-0.00101,-0.00101,2.30532,2.91117,6.42399,13.7546,9.13454,9.19471,7.67912,1.35106,0.96426,0.875576,0.131458,-0.00101,-0.00101,-0.00101,-0.00101,-0.00101,-0.00101,-0.00101,-0.00101,-0.00101,-0.00101,-0.00101,-0.00101,-0.00101,4.70291,10.1891,6.88468,8.27184,11.5085,9.27835,10.722,14.3879,5.09633,2.45673,0.369347,-0.00101,-0.00101,-0.00101,-0.00101,-0.00101,-0.00101,-0.00101,-0.00101,-0.00101,-0.00101,-0.00101,-0.00101,-0.00101,4.97958,10.463,14.317,14.85,14.85,14.85,14.85,14.4104,10.8359,6.06487,0.812147,-0.00101,-0.00101,-0.00101,-0.00101,-0.00101,-0.00101,-0.00101,-0.00101,-0.00101,-0.00101,-0.00101,-0.00101,-0.00101,5.08743,4.98198,14.0676,14.85,14.85,14.85,13.3593,14.1262,6.45918,5.75196,0.469126,-0.00101,-0.00101,-0.00101,-0.00101,-0.00101,-0.00101,-0.00101,-0.00101,-0.00101,-0.00101,-0.00101,-0.00101,-0.00101,0.47381,3.42957,10.106,13.8617,14.2058,14.85,12.5187,6.97019,3.72906,5.71587,0.52335,-0.00101,-0.00101,-0.00101,-0.00101,-0.00101,-0.00101,-0.00101,-0.00101,-0.00101,-0.00101,-0.00101,-0.00101,-0.00101,0.776416,4.95061,3.69731,12.6433,13.6196,14.489,12.8153,8.04362,6.36624,3.47973,0.205663,-0.00101,-0.00101,-0.00101,-0.00101,-0.00101,-0.00101,-0.00101,-0.00101,-0.00101,-0.00101,-0.00101,-0.00101,-0.00101,0.0362858,1.64575,4.86872,10.5779,8.88163,7.04854,10.4094,3.77217,1.94308,0.600098,0.123586,-0.00101,-0.00101,-0.00101,-0.00101,-0.00101,-0.00101,-0.00101,-0.00101,-0.00101,-0.00101,-0.00101,-0.00101,-0.00101,0.049345,0.166717,0.501776,2.47239,3.75594,6.695,4.66073,1.16084,3.27972,1.28184,0.0711806,-0.00101,-0.00101,-0.00101,-0.00101,-0.00101,-0.00101,-0.00101,-0.00101,-0.00101,-0.00101,-0.00101,-0.00101,0.0197066,3.70332,6.1559,8.73229,10.92,10.3568,7.48273,7.74398,6.96912,4.15334,0.0483531,0.114069,-0.00101,-0.00101,-0.00101,-0.00101,-0.00101,-0.00101,-0.00101,-0.00101,-0.00101,-0.00101,-0.00101,-0.00101,-0.00101,0.0494956,0.0875178,0.283894,1.01016,2.53725,6.29063,3.71572,4.72176,0.139719,0.154282,0.0611222,-0.00101,-0.00101,-0.00101,-0.00101,-0.00101,-0.00101,-0.00101,-0.00101,-0.00101,-0.00101,-0.00101,-0.00101,0.0209333,0.0892115,1.14204,2.8146,4.75699,0.755561,9.9373,2.7203,3.92395,0.731744,0.499965,0.0935372,-0.00101,-0.00101,-0.00101,-0.00101,-0.00101,-0.00101,-0.00101,-0.00101,-0.00101,-0.00101,-0.00101,-0.00101,0.035557,0.0959796,0.580675,1.56731,4.98847,7.97691,4.24185,12.03,3.47572,1.47518,0.239275,0.223605,-0.00101,-0.00101,-0.00101,-0.00101,-0.00101,-0.00101,-0.00101,-0.00101,-0.00101,-0.00101,-0.00101,-0.00101,0.0240755,0.154172,1.05134,1.36781,4.17957,3.63752,4.46656,4.39724,6.05813,4.0098,0.905455,0.243302,-0.00101,-0.00101,-0.00101,-0.00101,-0.00101,-0.00101,-0.00101,-0.00101,-0.00101,-0.00101,-0.00101,-0.00101,0.037321,0.153748,3.52287,8.41049,11.0503,9.29461,8.88948,4.18705,9.14096,3.29014,0.237231,0.557891,-0.00101,-0.00101,-0.00101,-0.00101,-0.00101,-0.00101,-0.00101,-0.00101,-0.00101,-0.00101,-0.00101,-0.00101,0.0377058,0.168898,4.78583,6.65782,4.00348,6.58857,6.40221,7.22972,4.31504,8.57726,4.94979,0.447594,-0.00101,-0.00101,-0.00101,-0.00101,-0.00101,-0.00101,-0.00101,-0.00101,-0.00101,-0.00101,-0.00101,-0.00101,0.0869154,5.87106,8.76625,8.64275,11.5081,8.80294,12.3987,14.85,4.34263,5.89791,6.04153,1.11367,-0.00101,-0.00101,-0.00101,-0.00101,-0.00101,-0.00101,-0.00101,-0.00101,-0.00101,-0.00101,-0.00101,-0.00101,0.0613888,3.40708,7.48608,9.43373,13.3588,14.85,11.89,8.56128,4.28522,2.21978,0.278435,0.18112,-0.00101,-0.00101,-0.00101,-0.00101,-0.00101,-0.00101,-0.00101,-0.00101,-0.00101,-0.00101,-0.00101,-0.00101,0.0356871,5.99299,6.10633,11.8336,11.1752,14.85,14.85,13.5024,9.40302,5.93023,3.48523,0.324849,-0.00101,-0.00101,-0.00101,-0.00101,-0.00101,-0.00101,-0.00101,-0.00101,-0.00101,-0.00101,-0.00101,-0.00101,0.191717,0.155916,6.51936,8.6666,7.33524,3.70243,7.39368,4.81808,4.92718,5.16698,3.44631,0.448347,-0.00101,-0.00101,-0.00101,-0.00101,-0.00101,-0.00101,-0.00101,-0.00101,-0.00101,-0.00101,-0.00101,-0.00101,0.218847,6.16611,10.9827,14.719,14.85,14.85,14.85,14.85,14.3155,10.7011,5.97308,1.15054,-0.00101,-0.00101,-0.00101,-0.00101,-0.00101,-0.00101,-0.00101,-0.00101,-0.00101,-0.00101,-0.00101,-0.00101,0.236006,5.91941,10.7738,14.4479,14.85,14.85,14.85,14.85,14.0009,10.4911,5.76891,1.14084,-0.00101,-0.00101,-0.00101,-0.00101,-0.00101,-0.00101,-0.00101,-0.00101,-0.00101,-0.00101,-0.00101,-0.00101,0.290778,6.21685,11.0105,14.5793,14.85,14.85,14.85,14.85,13.9893,10.4485,5.8193,1.13674,-0.00101,-0.00101,-0.00101,-0.00101,-0.00101,-0.00101,-0.00101,-0.00101,-0.00101,-0.00101,-0.00101,-0.00101,0.314128,6.06406,10.5173,13.8036,14.85,14.85,14.85,14.85,13.7197,7.65591,3.44735,1.03014,-0.00101,-0.00101,-0.00101,-0.00101,-0.00101,-0.00101,-0.00101,-0.00101,-0.00101,-0.00101,-0.00101,-0.00101,0.300577,5.6966,10.2833,13.673,14.85,14.85,13.0116,10.3081,9.27168,9.92576,3.77022,0.209046,-0.00101,-0.00101,-0.00101,-0.00101,-0.00101,-0.00101,-0.00101,-0.00101,-0.00101,-0.00101,-0.00101,-0.00101,0.0357876,1.95807,5.12944,8.02604,6.4359,7.88415,8.03159,4.66854,4.65326,6.08336,3.13746,0.214098,-0.00101,-0.00101,-0.00101,-0.00101,-0.00101,-0.00101,-0.00101,-0.00101,-0.00101,-0.00101,-0.00101,-0.00101,0.364799,6.4214,11.1349,9.68203,14.85,14.85,14.85,14.85,14.1596,10.6072,5.88323,1.17949,-0.00101,-0.00101,-0.00101,-0.00101,-0.00101,-0.00101,-0.00101,-0.00101,-0.00101,-0.00101,-0.00101,-0.00101,1.42738,6.46303,11.0627,14.5689,14.85,14.85,14.85,14.85,13.8886,10.3901,5.77772,1.15575,-0.00101,-0.00101,-0.00101,-0.00101,-0.00101,-0.00101,-0.00101,-0.00101,-0.00101,-0.00101,-0.00101,-0.00101,1.35542,6.00761,10.2824,13.5032,14.85,14.85,12.5228,3.13777,3.45088,5.76782,3.28736,0.1722,-0.00101,-0.00101,-0.00101,-0.00101,-0.00101,-0.00101,-0.00101,-0.00101,-0.00101,-0.00101,-0.00101,-0.00101,0.0362509,1.99702,5.01642,7.65906,1.63087,3.40656,7.5699,8.30676,8.97415,7.31579,3.44779,0.239089,-0.00101,-0.00101,-0.00101,-0.00101,-0.00101,-0.00101,-0.00101,-0.00101,-0.00101,-0.00101,-0.00101,-0.00101,0.756052,3.36543,5.10261,10.9176,10.258,12.8313,8.42568,8.43663,9.59767,7.21478,1.98442,0.0704455,-0.00101,-0.00101,-0.00101,-0.00101,-0.00101,-0.00101,-0.00101,-0.00101,-0.00101,-0.00101,-0.00101,-0.00101,1.17459,5.43179,10.1073,13.7518,14.85,11.2345,14.85,14.85,13.6862,10.1235,5.50656,1.22372,-0.00101,-0.00101,-0.00101,-0.00101,-0.00101,-0.00101,-0.00101,-0.00101,-0.00101,-0.00101,-0.00101,-0.00101,0.565127,2.7191,6.35494,3.56708,4.1552,4.59026,6.25253,4.15508,3.52237,1.59326,0.230242,0.0469971,-0.00101,-0.00101,-0.00101,-0.00101,-0.00101,-0.00101,-0.00101,-0.00101,-0.00101,-0.00101,-0.00101,-0.00101,0.0490763,1.39115,1.63199,4.26007,8.68764,5.86577,3.13722,3.93889,3.72977,3.59545,2.50118,0.268709,-0.00101,-0.00101,-0.00101,-0.00101,-0.00101,-0.00101,-0.00101,-0.00101,-0.00101,-0.00101,-0.00101,-0.00101,1.3217,5.43647,9.86404,13.3363,14.85,14.85,14.85,14.85,12.7725,9.35287,4.45059,1.29563,-0.00101,-0.00101,-0.00101,-0.00101,-0.00101,-0.00101,-0.00101,-0.00101,-0.00101,-0.00101,-0.00101,-0.00101,1.0696,3.6373,9.95028,13.3717,14.85,14.85,14.85,14.3693,12.8745,9.12805,4.22741,1.209,-0.00101,-0.00101,-0.00101,-0.00101,-0.00101,-0.00101,-0.00101,-0.00101,-0.00101,-0.00101,-0.00101,-0.00101,0.856534,2.98605,9.25251,12.6835,14.85,12.6316,12.1721,10.0205,6.01758,1.42158,0.932992,1.18076,-0.00101,-0.00101,-0.00101,-0.00101,-0.00101,-0.00101,-0.00101,-0.00101,-0.00101,-0.00101,-0.00101,-0.00101,0.0361403,2.80961,6.08821,3.66075,5.46764,5.47744,3.29312,12.3074,2.54646,7.12189,2.71338,0.0478149,-0.00101,-0.00101,-0.00101,-0.00101,-0.00101,-0.00101,-0.00101,-0.00101,-0.00101,-0.00101,-0.00101,-0.00101,0.0369324,1.20369,4.80418,8.48926,11.6398,14.1937,12.8945,7.4497,7.61333,5.77152,4.18312,0.0732019,-0.00101,-0.00101,-0.00101,-0.00101,-0.00101,-0.00101,-0.00101,-0.00101,-0.00101,-0.00101,-0.00101,-0.00101,0.0627686,0.290995,1.74999,2.8553,5.49318,11.4798,14.85,14.85,8.58719,5.51814,5.5097,1.25455,-0.00101,-0.00101,-0.00101,-0.00101,-0.00101,-0.00101,-0.00101,-0.00101,-0.00101,-0.00101,-0.00101,-0.00101,0.182792,2.91058,5.67976,7.59159,10.2636,11.3542,11.9293,11.2738,9.31701,7.88282,4.15286,0.8463,-0.00101,-0.00101,-0.00101,-0.00101,-0.00101,-0.00101,-0.00101,-0.00101,-0.00101,-0.00101,-0.00101,-0.00101,1.96946,6.75251,11.1841,14.4916,14.85,14.85,14.85,14.85,13.6824,10.1911,5.56979,1.12737,-0.00101,-0.00101,-0.00101,-0.00101,-0.00101,-0.00101,-0.00101,-0.00101,-0.00101,-0.00101,-0.00101,-0.00101,0.929015,5.50117,8.28374,14.1185,14.85,14.85,14.0414,14.85,13.2125,9.82561,5.33523,1.15808,-0.00101,-0.00101,-0.00101,-0.00101,-0.00101,-0.00101,-0.00101,-0.00101,-0.00101,-0.00101,-0.00101,-0.00101,1.92188,6.40065,10.5373,13.744,14.85,14.85,12.4004,12.9513,10.0541,0.733132,0.294905,0.0474198,-0.00101,-0.00101,-0.00101,-0.00101,-0.00101,-0.00101,-0.00101,-0.00101,-0.00101,-0.00101,-0.00101,-0.00101,0.049767,2.16297,1.12361,3.31625,3.17414,1.93756,5.92897,5.32037,6.4725,7.6998,0.14021,0.0485595,-0.00101,-0.00101,-0.00101,-0.00101,-0.00101,-0.00101,-0.00101,-0.00101,-0.00101,-0.00101,-0.00101,-0.00101,0.459281,2.38991,0.884715,6.34198,6.08023,3.74042,3.53067,4.47438,3.93773,1.1707,2.03267,0.327473,-0.00101,-0.00101,-0.00101,-0.00101,-0.00101,-0.00101,-0.00101,-0.00101,-0.00101,-0.00101,-0.00101,-0.00101,0.591503,1.3441,2.99541,4.30162,3.12584,4.77459,6.98796,6.53779,4.25969,2.59517,1.64828,0.382874,-0.00101,-0.00101,-0.00101,-0.00101,-0.00101,-0.00101,-0.00101,-0.00101,-0.00101,-0.00101,-0.00101,0.0198296,0.0764016,0.839947,2.14318,2.85265,3.78035,4.60578,4.87323,7.3774,2.94382,2.1749,1.18365,0.437787,0.086249,-0.00101,-0.00101,-0.00101,-0.00101,-0.00101,-0.00101,-0.00101,-0.00101,-0.00101,-0.00101,0.105754,2.14497,6.72754,10.9369,14.0627,14.85,8.93655,8.23763,5.34799,8.82598,3.79404,1.43333,1.15768,0.199047,-0.00101,-0.00101,-0.00101,-0.00101,-0.00101,-0.00101,-0.00101,-0.00101,-0.00101,-0.00101,0.0418051,0.264845,5.03718,5.71816,14.0634,14.6905,14.85,11.8927,6.04607,6.15504,6.22497,0.487278,1.63705,0.052481,-0.00101,-0.00101,-0.00101,-0.00101,-0.00101,-0.00101,-0.00101,-0.00101,-0.00101,-0.00101,0.0436633,0.946848,4.03633,8.03502,13.79,8.94625,8.12058,4.41266,2.2638,6.56693,6.02514,4.56668,1.11548,0.0638888,-0.00101,-0.00101,-0.00101,-0.00101,-0.00101,-0.00101,-0.00101,-0.00101,-0.00101,-0.00101,0.091982,1.9527,3.29249,6.28653,10.0144,9.92685,12.8151,7.07374,12.1143,8.04811,5.59841,4.41863,0.27184,0.0416693,-0.00101,-0.00101,-0.00101,-0.00101,-0.00101,-0.00101,-0.00101,-0.00101,-0.00101,-0.00101,0.174349,2.27708,6.94179,11.0818,14.1303,14.85,14.85,14.85,14.85,13.2663,9.9036,5.3519,1.10638,0.220577,-0.00101,-0.00101,-0.00101,-0.00101,-0.00101,-0.00101,-0.00101,-0.00101,-0.00101,-0.00101,0.185844,2.31181,7.02311,11.0396,14.1939,14.85,14.85,14.85,14.85,13.2267,9.86753,5.30941,1.08542,0.231994,-0.00101,-0.00101,-0.00101,-0.00101,-0.00101,-0.00101,-0.00101,-0.00101,-0.00101,-0.00101,0.200602,2.32536,7.01415,11.0189,14.032,14.85,14.85,14.85,14.85,12.6508,9.46887,5.15778,1.10329,0.240319,-0.00101,-0.00101,-0.00101,-0.00101,-0.00101,-0.00101,-0.00101,-0.00101,-0.00101,-0.00101,0.211149,2.29306,6.86166,10.7634,13.6581,14.85,14.85,14.85,14.8084,12.509,9.33579,5.08667,1.08912,0.239645,-0.00101,-0.00101,-0.00101,-0.00101,-0.00101,-0.00101,-0.00101,-0.00101,-0.00101,-0.00101,0.224326,2.32052,6.88173,10.8397,13.8433,14.85,14.85,14.85,14.85,12.742,9.45321,5.10923,1.05188,0.238774,-0.00101,-0.00101,-0.00101,-0.00101,-0.00101,-0.00101,-0.00101,-0.00101,-0.00101,-0.00101,0.223004,2.33988,6.87471,10.784,13.7671,14.85,14.85,14.85,14.85,12.5129,9.30278,4.9996,1.06045,0.256835,-0.00101,-0.00101,-0.00101,-0.00101,-0.00101,-0.00101,-0.00101,-0.00101,-0.00101,-0.00101,0.257456,2.29533,6.71742,10.5119,13.138,14.85,14.85,14.85,14.2367,12.102,9.01056,4.45121,1.4322,0.256887,-0.00101,-0.00101,-0.00101,-0.00101,-0.00101,-0.00101,-0.00101,-0.00101,-0.00101,-0.00101,0.28007,2.29856,6.68072,10.6397,13.5524,14.85,14.85,14.85,14.85,12.4167,9.21638,4.9353,1.16626,0.304714,-0.00101,-0.00101,-0.00101,-0.00101,-0.00101,-0.00101,-0.00101,-0.00101,-0.00101,-0.00101,0.29183,1.39003,5.80632,9.9127,10.2038,13.0936,13.0009,13.7271,14.85,12.9504,9.55405,4.10538,1.4696,0.423652,-0.00101,-0.00101,-0.00101,-0.00101,-0.00101,-0.00101,-0.00101,-0.00101,-0.00101,-0.00101,0.251875,0.0482816,0.470074,4.05854,3.44387,4.11009,3.04118,8.21829,0.375927,8.47626,9.13933,4.6907,0.0986308,0.129896,-0.00101,-0.00101,-0.00101,-0.00101,-0.00101,-0.00101,-0.00101,-0.00101,-0.00101,-0.00101,0.163381,2.44442,4.34482,7.72579,7.62463,13.8727,10.9661,13.6535,10.1471,8.9892,5.99242,2.64512,1.29193,0.24345,-0.00101,-0.00101,-0.00101,-0.00101,-0.00101,-0.00101,-0.00101,-0.00101,-0.00101,-0.00101,0.202633,2.42251,6.40324,8.77891,13.852,14.0547,14.85,14.4407,14.85,9.44473,7.73732,4.11439,1.77397,0.0834117,-0.00101,-0.00101,-0.00101,-0.00101,-0.00101,-0.00101,-0.00101,-0.00101,-0.00101,-0.00101,0.279811,0.0607228,2.99727,6.71782,4.0395,6.39368,10.4011,13.4303,11.9737,3.92301,4.74572,3.7869,0.121522,0.137412,-0.00101,-0.00101,-0.00101,-0.00101,-0.00101,-0.00101,-0.00101,-0.00101,-0.00101,-0.00101,0.320253,2.36488,6.34001,10.1394,13.1473,14.85,11.8567,14.7647,13.4017,10.2098,7.33782,4.3327,1.69855,0.197288,-0.00101,-0.00101,-0.00101,-0.00101,-0.00101,-0.00101,-0.00101,-0.00101,-0.00101,-0.00101,0.462363,2.41541,6.19426,7.39896,8.8758,3.05456,9.88768,12.2559,11.1359,1.49972,6.11237,2.01032,1.55396,0.359419,-0.00101,-0.00101,-0.00101,-0.00101,-0.00101,-0.00101,-0.00101,-0.00101,-0.00101,-0.00101,0.0361166,0.0629881,1.55106,0.99475,0.857885,0.824205,5.4826,7.55346,9.60469,8.20545,4.53199,0.521367,0.763532,0.0503157,-0.00101,-0.00101,-0.00101,-0.00101,-0.00101,-0.00101,-0.00101,-0.00101,-0.00101,-0.00101,0.315016,0.669461,3.68322,4.89116,2.74095,9.25859,5.09458,8.89818,9.83017,7.932,6.39459,1.12241,1.45096,0.379685,-0.00101,-0.00101,-0.00101,-0.00101,-0.00101,-0.00101,-0.00101,-0.00101,-0.00101,-0.00101,0.0356627,1.45729,2.88095,7.61391,5.71476,7.43161,12.1908,1.57439,2.05326,3.63976,1.98211,0.689192,0.11157,0.0700376,-0.00101,-0.00101,-0.00101,-0.00101,-0.00101,-0.00101,-0.00101,-0.00101,-0.00101,-0.00101,0.0354313,1.16523,4.80138,6.29614,13.2569,12.812,12.3212,10.4204,2.89685,3.04638,2.76963,2.74128,1.13916,0.0918565,-0.00101,-0.00101,-0.00101,-0.00101,-0.00101,-0.00101,-0.00101,-0.00101,-0.00101,-0.00101,0.447621,2.24865,5.22176,10.8074,13.7068,14.85,14.85,14.85,14.7868,12.471,9.33191,5.04123,1.1143,0.379276,-0.00101,-0.00101,-0.00101,-0.00101,-0.00101,-0.00101,-0.00101,-0.00101,-0.00101,-0.00101,0.390394,2.52745,7.02242,10.8686,13.7317,14.85,14.85,14.85,14.5438,12.2535,9.12745,4.94692,1.47958,0.357339,-0.00101,-0.00101,-0.00101,-0.00101,-0.00101,-0.00101,-0.00101,-0.00101,-0.00101,-0.00101,0.24292,2.57262,6.07615,8.84291,10.989,13.1675,14.3683,14.0654,12.4512,12.0739,8.97596,4.82109,1.01989,0.471831,-0.00101,-0.00101,-0.00101,-0.00101,-0.00101,-0.00101,-0.00101,-0.00101,-0.00101,-0.00101,0.358388,2.45863,6.83412,9.77082,12.4623,14.85,14.85,14.85,14.382,12.0306,8.89014,4.79174,1.31994,0.493642,-0.00101,-0.00101,-0.00101,-0.00101,-0.00101,-0.00101,-0.00101,-0.00101,-0.00101,-0.00101,0.569954,2.50466,4.43665,6.2811,6.86678,9.9875,14.3709,13.346,10.9176,11.5559,8.54356,4.16091,1.36699,0.527722,-0.00101,-0.00101,-0.00101,-0.00101,-0.00101,-0.00101,-0.00101,-0.00101,-0.00101,-0.00101,0.615657,2.58684,4.49628,9.94566,10.9877,14.4734,14.85,14.85,9.2044,8.41815,8.51504,1.83454,0.057274,0.532385,-0.00101,-0.00101,-0.00101,-0.00101,-0.00101,-0.00101,-0.00101,-0.00101,-0.00101,-0.00101,0.426841,2.42148,4.85218,8.31905,10.2965,10.3542,13.7656,11.2874,12.6922,12.0719,6.93051,1.34845,1.52718,0.213272,-0.00101,-0.00101,-0.00101,-0.00101,-0.00101,-0.00101,-0.00101,-0.00101,-0.00101,-0.00101,0.0728921,0.0604885,3.08673,7.32531,7.99426,12.6111,11.5776,10.0996,6.86351,2.54172,8.85773,4.91239,1.38862,0.47903,-0.00101,-0.00101,-0.00101,-0.00101,-0.00101,-0.00101,-0.00101,-0.00101,-0.00101,-0.00101,0.794648,1.10033,3.89872,7.40869,11.1288,13.4849,13.7941,13.8879,12.1598,8.45467,5.64347,4.16129,1.2584,0.0855596,-0.00101,-0.00101,-0.00101,-0.00101,-0.00101,-0.00101,-0.00101,-0.00101,-0.00101,-0.00101,0.665067,1.74732,2.90983,6.15835,6.96809,8.22083,5.44178,9.71519,13.6955,9.15083,8.68945,2.22973,1.24655,0.326174,-0.00101,-0.00101,-0.00101,-0.00101,-0.00101,-0.00101,-0.00101,-0.00101,-0.00101,-0.00101,0.634004,2.58255,6.02994,8.07312,12.5189,13.4804,11.7181,7.31546,10.1992,8.40135,0.215192,1.34389,1.6461,0.299637,-0.00101,-0.00101,-0.00101,-0.00101,-0.00101,-0.00101,-0.00101,-0.00101,-0.00101,-0.00101,0.059793,0.416411,4.71354,6.38451,9.34511,10.2388,10.4491,10.3422,3.14349,2.84061,1.26205,3.04029,0.275565,0.280487,-0.00101,-0.00101,-0.00101,-0.00101,-0.00101,-0.00101,-0.00101,-0.00101,-0.00101,-0.00101,0.535222,0.161049,0.107759,7.31221,9.98446,14.0545,11.8945,10.5023,3.47132,9.5152,6.94148,3.97951,2.09195,0.607603,-0.00101,-0.00101,-0.00101,-0.00101,-0.00101,-0.00101,-0.00101,-0.00101,-0.00101,-0.00101,0.58074,2.6128,5.44437,10.3392,9.70004,10.3101,3.18654,12.5735,12.1792,4.85936,6.83357,4.50096,1.3149,0.662292,-0.00101,-0.00101,-0.00101,-0.00101,-0.00101,-0.00101,-0.00101,-0.00101,-0.00101,-0.00101,0.508544,2.45911,6.69014,10.3867,13.1624,14.85,14.85,14.85,10.9473,8.99022,8.97619,4.87848,1.23647,0.560927,-0.00101,-0.00101,-0.00101,-0.00101,-0.00101,-0.00101,-0.00101,-0.00101,-0.00101,-0.00101,0.568392,2.63115,5.54586,10.1302,12.0457,12.8654,11.5445,14.8282,13.5378,11.4393,8.59394,4.76127,1.40292,0.577901,-0.00101,-0.00101,-0.00101,-0.00101,-0.00101,-0.00101,-0.00101,-0.00101,-0.00101,-0.00101,0.57506,2.40497,5.8753,9.62574,12.1722,13.7437,14.5876,14.4434,13.4295,11.2257,8.28207,4.65083,1.69723,0.631956,-0.00101,-0.00101,-0.00101,-0.00101,-0.00101,-0.00101,-0.00101,-0.00101,-0.00101,-0.00101,0.715331,2.71595,5.61775,8.91495,11.7469,13.7266,14.85,14.7569,10.448,9.14607,8.38111,4.54991,1.61419,0.640139,-0.00101,-0.00101,-0.00101,-0.00101,-0.00101,-0.00101,-0.00101,-0.00101,-0.00101,-0.00101,0.674097,1.44789,5.70767,8.72758,12.1922,11.9376,14.85,14.7824,11.3039,10.2387,6.16491,4.30881,1.95304,0.0782458,-0.00101,-0.00101,-0.00101,-0.00101,-0.00101,-0.00101,-0.00101,-0.00101,-0.00101,-0.00101,0.034498,1.22851,5.16773,8.60228,10.8667,9.81583,10.0257,4.89337,3.76144,9.29258,7.11276,4.10834,1.54457,0.0432878,-0.00101,-0.00101,-0.00101,-0.00101,-0.00101,-0.00101,-0.00101,-0.00101,-0.00101,-0.00101,0.757605,2.7368,5.20849,8.43207,10.4702,14.5434,10.4653,0.902937,8.38913,10.026,6.36813,3.91389,1.58046,0.663456,-0.00101,-0.00101,-0.00101,-0.00101,-0.00101,-0.00101,-0.00101,-0.00101,-0.00101,-0.00101,0.589642,2.54402,5.17982,8.73313,12.3968,14.1957,14.85,10.4307,5.13543,8.74157,5.33019,4.57525,2.0103,0.241178,-0.00101,-0.00101,-0.00101,-0.00101,-0.00101,-0.00101,-0.00101,-0.00101,-0.00101,-0.00101,0.928784,2.57368,5.83154,9.7125,11.706,11.5669,10.7158,11.0122,10.4651,9.65447,7.6434,4.7926,1.28595,0.561191,-0.00101,-0.00101,-0.00101,-0.00101,-0.00101,-0.00101,-0.00101,-0.00101,-0.00101,-0.00101,0.586192,2.4857,1.96807,2.52061,3.8428,2.5466,13.8023,12.5971,3.89142,5.43002,5.94217,4.06908,2.05521,0.45585,-0.00101,-0.00101,-0.00101,-0.00101,-0.00101,-0.00101,-0.00101,-0.00101,-0.00101,-0.00101,0.564798,2.33638,6.16791,9.68251,11.4761,12.241,11.1437,12.5411,11.5123,5.27635,2.07209,0.143047,0.445981,0.0330807,-0.00101,-0.00101,-0.00101,-0.00101,-0.00101,-0.00101,-0.00101,-0.00101,-0.00101,-0.00101,0.0350349,0.967914,0.977503,4.3031,7.1701,10.1402,8.72882,9.62589,7.25527,8.49081,6.64507,4.15869,2.09702,0.204901,-0.00101,-0.00101,-0.00101,-0.00101,-0.00101,-0.00101,-0.00101,-0.00101,-0.00101,-0.00101,0.511975,2.27982,6.34717,9.91685,12.5714,14.3728,14.85,14.85,13.7878,11.6559,8.77229,4.84052,1.30527,0.583445,-0.00101,-0.00101,-0.00101,-0.00101,-0.00101,-0.00101,-0.00101,-0.00101,-0.00101,-0.00101,0.558744,2.28044,5.98237,9.36357,10.4426,11.9923,12.1779,11.6763,10.7696,8.34444,6.93786,3.98977,1.18481,0.546858,-0.00101,-0.00101,-0.00101,-0.00101,-0.00101,-0.00101,-0.00101,-0.00101,-0.00101,-0.00101,0.034727,2.66017,2.50077,6.13886,3.02424,12.2555,14.6227,14.5202,11.8952,11.6031,6.44172,4.23593,2.02064,0.710668,-0.00101,-0.00101,-0.00101,-0.00101,-0.00101,-0.00101,-0.00101,-0.00101,-0.00101,-0.00101,0.539806,2.61844,5.68478,8.07815,7.906</t>
  </si>
  <si>
    <t>-0.005555,-0.005555,-0.005555,-0.005555,-0.005555,-0.005555,-0.005555,-0.005555,2.71493,21.8521,28.1273,30.9017,31.0757,21.7516,4.5858,13.2072,1.72115,-0.005555,-0.005555,-0.005555,-0.005555,-0.005555,-0.005555,-0.005555,-0.005555,-0.005555,-0.005555,-0.005555,-0.005555,-0.005555,-0.005555,-0.005555,2.72634,5.46387,28.1912,0.836413,15.6951,3.25469,5.24065,5.81042,0.108952,-0.005555,-0.005555,-0.005555,-0.005555,-0.005555,-0.005555,-0.005555,-0.005555,-0.005555,-0.005555,-0.005555,-0.005555,-0.005555,-0.005555,-0.005555,0.192596,5.11823,3.61045,32.9568,16.0158,29.9012,9.80636,3.50009,0.0864138,-0.005555,-0.005555,-0.005555,-0.005555,-0.005555,-0.005555,-0.005555,-0.005555,-0.005555,-0.005555,-0.005555,-0.005555,-0.005555,-0.005555,-0.005555,14.8269,24.2421,30.7574,33.612,33.9889,31.0261,25.0386,15.9927,3.22302,-0.005555,-0.005555,-0.005555,-0.005555,-0.005555,-0.005555,-0.005555,-0.005555,-0.005555,-0.005555,-0.005555,-0.005555,-0.005555,-0.005555,-0.005555,0.166664,3.12772,0.937389,1.14449,1.23463,0.812429,0.605978,0.163283,0.22437,-0.005555,-0.005555,-0.005555,-0.005555,-0.005555,-0.005555,-0.005555,-0.005555,-0.005555,-0.005555,-0.005555,-0.005555,-0.005555,-0.005555,-0.005555,0.654445,2.27332,3.79684,5.80087,16.2209,4.90293,2.78736,1.32327,0.203761,-0.005555,-0.005555,-0.005555,-0.005555,-0.005555,-0.005555,-0.005555,-0.005555,-0.005555,-0.005555,-0.005555,-0.005555,-0.005555,-0.005555,-0.005555,3.45254,25.4162,31.5172,11.6906,12.9713,31.1171,4.56254,1.69204,0.722258,-0.005555,-0.005555,-0.005555,-0.005555,-0.005555,-0.005555,-0.005555,-0.005555,-0.005555,-0.005555,-0.005555,-0.005555,-0.005555,-0.005555,-0.005555,1.01081,4.16791,15.3615,5.93874,16.3822,5.12539,6.94413,1.57012,0.422076,-0.005555,-0.005555,-0.005555,-0.005555,-0.005555,-0.005555,-0.005555,-0.005555,-0.005555,-0.005555,-0.005555,-0.005555,-0.005555,-0.005555,-0.005555,16.2866,26.4835,33.3062,35.64,35.64,33.9127,27.7312,18.1131,4.47295,-0.005555,-0.005555,-0.005555,-0.005555,-0.005555,-0.005555,-0.005555,-0.005555,-0.005555,-0.005555,-0.005555,-0.005555,-0.005555,-0.005555,-0.005555,0.757474,1.63559,13.8796,15.0507,8.89455,31.6591,9.08311,17.1691,0.414416,-0.005555,-0.005555,-0.005555,-0.005555,-0.005555,-0.005555,-0.005555,-0.005555,-0.005555,-0.005555,-0.005555,-0.005555,-0.005555,-0.005555,-0.005555,0.544999,24.9348,6.90549,7.06869,4.43436,6.52273,10.0699,7.85872,0.131001,-0.005555,-0.005555,-0.005555,-0.005555,-0.005555,-0.005555,-0.005555,-0.005555,-0.005555,-0.005555,-0.005555,-0.005555,-0.005555,-0.005555,-0.005555,0.511824,4.27388,20.8463,17.9042,4.00868,4.24007,2.03609,0.95409,0.363344,-0.005555,-0.005555,-0.005555,-0.005555,-0.005555,-0.005555,-0.005555,-0.005555,-0.005555,-0.005555,-0.005555,-0.005555,-0.005555,-0.005555,-0.005555,0.66485,3.97777,0.7468,0.921243,9.64119,4.53081,2.25484,1.19937,0.176724,-0.005555,-0.005555,-0.005555,-0.005555,-0.005555,-0.005555,-0.005555,-0.005555,-0.005555,-0.005555,-0.005555,-0.005555,-0.005555,-0.005555,-0.005555,0.54561,6.69863,14.9905,2.37722,2.22034,5.87177,4.02011,1.26361,0.109049,-0.005555,-0.005555,-0.005555,-0.005555,-0.005555,-0.005555,-0.005555,-0.005555,-0.005555,-0.005555,-0.005555,-0.005555,-0.005555,-0.005555,-0.005555,1.52847,1.97562,4.24565,5.07802,4.21139,2.91979,2.66123,1.36092,0.108036,-0.005555,-0.005555,-0.005555,-0.005555,-0.005555,-0.005555,-0.005555,-0.005555,-0.005555,-0.005555,-0.005555,-0.005555,-0.005555,-0.005555,-0.005555,0.780015,2.52018,4.91446,6.60495,7.44963,24.5443,27.5416,18.9329,5.43869,-0.005555,-0.005555,-0.005555,-0.005555,-0.005555,-0.005555,-0.005555,-0.005555,-0.005555,-0.005555,-0.005555,-0.005555,-0.005555,-0.005555,-0.005555,0.289522,2.61703,5.07467,4.83984,10.6166,7.3738,26.819,18.078,0.62757,-0.005555,-0.005555,-0.005555,-0.005555,-0.005555,-0.005555,-0.005555,-0.005555,-0.005555,-0.005555,-0.005555,-0.005555,-0.005555,-0.005555,-0.005555,0.288223,26.8264,32.8689,35.4957,35.64,32.8713,27.105,18.5136,0.233452,-0.005555,-0.005555,-0.005555,-0.005555,-0.005555,-0.005555,-0.005555,-0.005555,-0.005555,-0.005555,-0.005555,-0.005555,-0.005555,-0.005555,-0.005555,0.255074,0.550461,2.44561,9.11668,9.18666,4.84546,7.24805,17.8772,0.759408,-0.005555,-0.005555,-0.005555,-0.005555,-0.005555,-0.005555,-0.005555,-0.005555,-0.005555,-0.005555,-0.005555,-0.005555,-0.005555,-0.005555,-0.005555,0.22245,4.29106,10.9199,34.1458,34.339,31.6328,26.0116,4.76259,1.03031,-0.005555,-0.005555,-0.005555,-0.005555,-0.005555,-0.005555,-0.005555,-0.005555,-0.005555,-0.005555,-0.005555,-0.005555,-0.005555,-0.005555,-0.005555,0.163398,1.38376,4.26841,4.67595,5.09733,5.045,3.84578,2.37692,0.865534,-0.005555,-0.005555,-0.005555,-0.005555,-0.005555,-0.005555,-0.005555,-0.005555,-0.005555,-0.005555,-0.005555,-0.005555,-0.005555,-0.005555,0.111131,2.63863,6.49345,8.28307,8.64176,9.01793,7.73218,4.86559,2.56309,0.716377,-0.005555,-0.005555,-0.005555,-0.005555,-0.005555,-0.005555,-0.005555,-0.005555,-0.005555,-0.005555,-0.005555,-0.005555,-0.005555,-0.005555,0.0877769,1.6794,4.21598,5.56199,7.89596,22.7059,11.0779,3.83562,2.62281,1.17393,-0.005555,-0.005555,-0.005555,-0.005555,-0.005555,-0.005555,-0.005555,-0.005555,-0.005555,-0.005555,-0.005555,-0.005555,-0.005555,-0.005555,0.156681,2.33679,4.61188,6.61685,9.13671,11.125,7.67481,4.14079,2.31121,0.796361,-0.005555,-0.005555,-0.005555,-0.005555,-0.005555,-0.005555,-0.005555,-0.005555,-0.005555,-0.005555,-0.005555,-0.005555,-0.005555,-0.005555,0.129055,1.46072,3.04609,3.92695,7.7821,4.91605,2.64126,1.5959,0.957274,0.380961,-0.005555,-0.005555,-0.005555,-0.005555,-0.005555,-0.005555,-0.005555,-0.005555,-0.005555,-0.005555,-0.005555,-0.005555,-0.005555,-0.005555,0.0856932,1.14013,2.49699,5.02644,7.31706,7.09918,4.21311,1.88226,0.922379,0.336836,-0.005555,-0.005555,-0.005555,-0.005555,-0.005555,-0.005555,-0.005555,-0.005555,-0.005555,-0.005555,-0.005555,-0.005555,-0.005555,-0.005555,0.11104,0.67123,1.28258,2.39936,3.93942,3.44596,2.47435,1.4142,0.606856,0.242905,-0.005555,-0.005555,-0.005555,-0.005555,-0.005555,-0.005555,-0.005555,-0.005555,-0.005555,-0.005555,-0.005555,-0.005555,-0.005555,-0.005555,0.236035,4.50791,13.0064,10.3732,9.82148,15.2207,20.3744,26.8684,18.9316,7.7874,-0.005555,-0.005555,-0.005555,-0.005555,-0.005555,-0.005555,-0.005555,-0.005555,-0.005555,-0.005555,-0.005555,-0.005555,-0.005555,-0.005555,0.738501,10.7594,19.9296,26.6202,31.1663,33.6084,32.229,27.2337,14.8463,2.75899,-0.005555,-0.005555,-0.005555,-0.005555,-0.005555,-0.005555,-0.005555,-0.005555,-0.005555,-0.005555,-0.005555,-0.005555,-0.005555,-0.005555,0.216844,0.845235,0.778369,0.996561,1.24587,1.18387,1.30114,1.28331,1.03451,0.487552,-0.005555,-0.005555,-0.005555,-0.005555,-0.005555,-0.005555,-0.005555,-0.005555,-0.005555,-0.005555,-0.005555,-0.005555,-0.005555,-0.005555,0.144195,0.875519,1.60267,2.11048,1.41867,1.12588,1.33058,1.40066,1.03405,0.516804,-0.005555,-0.005555,-0.005555,-0.005555,-0.005555,-0.005555,-0.005555,-0.005555,-0.005555,-0.005555,-0.005555,-0.005555,-0.005555,-0.005555,0.12043,0.847508,1.75768,2.30448,2.37807,2.28422,2.26091,1.62221,1.22124,0.471133,-0.005555,-0.005555,-0.005555,-0.005555,-0.005555,-0.005555,-0.005555,-0.005555,-0.005555,-0.005555,-0.005555,-0.005555,-0.005555,-0.005555,0.412428,8.15753,26.2651,32.1461,35.2246,35.2224,32.8149,27.6957,17.225,5.61996,-0.005555,-0.005555,-0.005555,-0.005555,-0.005555,-0.005555,-0.005555,-0.005555,-0.005555,-0.005555,-0.005555,-0.005555,-0.005555,-0.005555,4.50621,16.992,25.748,31.2772,34.2304,34.4127,31.4649,27.0313,19.3696,8.98538,-0.005555,-0.005555,-0.005555,-0.005555,-0.005555,-0.005555,-0.005555,-0.005555,-0.005555,-0.005555,-0.005555,-0.005555,-0.005555,-0.005555,1.83546,14.0762,23.2362,28.5676,20.5609,34.8046,20.0648,27.2838,19.6783,9.02289,-0.005555,-0.005555,-0.005555,-0.005555,-0.005555,-0.005555,-0.005555,-0.005555,-0.005555,-0.005555,-0.005555,-0.005555,-0.005555,-0.005555,0.0723666,17.1987,26.1231,31.6551,34.6926,34.8999,32.3988,27.4625,19.7831,9.29947,-0.005555,-0.005555,-0.005555,-0.005555,-0.005555,-0.005555,-0.005555,-0.005555,-0.005555,-0.005555,-0.005555,-0.005555,-0.005555,-0.005555,0.0727848,0.379356,1.87826,6.46884,0.500968,0.886712,1.2552,5.68874,8.61592,0.36125,-0.005555,-0.005555,-0.005555,-0.005555,-0.005555,-0.005555,-0.005555,-0.005555,-0.005555,-0.005555,-0.005555,-0.005555,-0.005555,-0.005555,0.073322,0.240945,0.489811,1.08081,0.873102,1.75942,10.3528,6.41649,0.374538,0.150681,-0.005555,-0.005555,-0.005555,-0.005555,-0.005555,-0.005555,-0.005555,-0.005555,-0.005555,-0.005555,-0.005555,-0.005555,-0.005555,-0.005555,0.0731909,0.239813,5.10757,2.63995,0.93011,7.08802,6.15052,7.3055,1.77075,0.0990275,-0.005555,-0.005555,-0.005555,-0.005555,-0.005555,-0.005555,-0.005555,-0.005555,-0.005555,-0.005555,-0.005555,-0.005555,-0.005555,-0.005555,0.10005,0.186097,3.64221,1.66849,10.3809,6.6412,9.38547,6.34439,2.08445,0.592158,-0.005555,-0.005555,-0.005555,-0.005555,-0.005555,-0.005555,-0.005555,-0.005555,-0.005555,-0.005555,-0.005555,-0.005555,-0.005555,-0.005555,0.100555,0.241722,0.518994,1.92754,4.27993,6.77594,4.87048,3.90766,11.3782,0.762719,-0.005555,-0.005555,-0.005555,-0.005555,-0.005555,-0.005555,-0.005555,-0.005555,-0.005555,-0.005555,-0.005555,-0.005555,-0.005555,-0.005555,0.23573,18.033,12.564,27.47,22.1447,35.64,21.2218,15.0751,9.34358,1.00959,-0.005555,-0.005555,-0.005555,-0.005555,-0.005555,-0.005555,-0.005555,-0.005555,-0.005555,-0.005555,-0.005555,-0.005555,-0.005555,-0.005555,0.101187,10.9286,27.2148,19.101,35.64,22.6238,6.16446,6.9038,2.04679,1.40713,-0.005555,-0.005555,-0.005555,-0.005555,-0.005555,-0.005555,-0.005555,-0.005555,-0.005555,-0.005555,-0.005555,-0.005555,-0.005555,-0.005555,0.100962,0.15788,4.94592,15.1736,9.00995,7.4521,10.8607,4.46358,0.542409,0.508581,-0.005555,-0.005555,-0.005555,-0.005555,-0.005555,-0.005555,-0.005555,-0.005555,-0.005555,-0.005555,-0.005555,-0.005555,-0.005555,-0.005555,0.101121,0.158151,1.89404,5.81962,9.44312,10.9914,9.62297,1.79488,0.21214,0.128284,-0.005555,-0.005555,-0.005555,-0.005555,-0.005555,-0.005555,-0.005555,-0.005555,-0.005555,-0.005555,-0.005555,-0.005555,-0.005555,-0.005555,0.129359,0.442054,0.953391,3.19919,7.39534,12.5669,11.877,15.2919,8.8167,0.743793,-0.005555,-0.005555,-0.005555,-0.005555,-0.005555,-0.005555,-0.005555,-0.005555,-0.005555,-0.005555,-0.005555,-0.005555,-0.005555,-0.005555,0.183698,0.298474,10.0408,18.7979,20.8953,11.298,5.01514,5.87306,5.43001,0.210003,-0.005555,-0.005555,-0.005555,-0.005555,-0.005555,-0.005555,-0.005555,-0.005555,-0.005555,-0.005555,-0.005555,-0.005555,-0.005555,-0.005555,5.46877,16.476,24.705,30.0812,33.2128,33.3882,31.211,26.3509,19.2836,9.31624,-0.005555,-0.005555,-0.005555,-0.005555,-0.005555,-0.005555,-0.005555,-0.005555,-0.005555,-0.005555,-0.005555,-0.005555,-0.005555,-0.005555,4.71423,15.8711,24.2835,30.0424,33.7044,34.3556,32.4622,27.3781,20.2803,10.2949,-0.005555,-0.005555,-0.005555,-0.005555,-0.005555,-0.005555,-0.005555,-0.005555,-0.005555,-0.005555,-0.005555,-0.005555,-0.005555,-0.005555,6.66641,17.6948,25.9324,31.5558,21.5581,20.6009,10.5198,9.49536,6.21032,1.27658,-0.005555,-0.005555,-0.005555,-0.005555,-0.005555,-0.005555,-0.005555,-0.005555,-0.005555,-0.005555,-0.005555,-0.005555,-0.005555,-0.005555,6.73763,17.9372,26.2362,31.5957,34.6439,34.8742,32.4981,27.5031,20.0942,10.3612,0.0845604,-0.005555,-0.005555,-0.005555,-0.005555,-0.005555,-0.005555,-0.005555,-0.005555,-0.005555,-0.005555,-0.005555,-0.005555,-0.005555,6.73408,17.727,25.6728,31.2755,34.5014,34.6936,32.0302,15.2518,18.8606,2.06354,0.175212,-0.005555,-0.005555,-0.005555,-0.005555,-0.005555,-0.005555,-0.005555,-0.005555,-0.005555,-0.005555,-0.005555,-0.005555,-0.005555,5.01784,15.3906,24.3837,30.6386,15.9049,12.3642,10.8389,10.9608,8.93527,2.16764,0.107597,-0.005555,-0.005555,-0.005555,-0.005555,-0.005555,-0.005555,-0.005555,-0.005555,-0.005555,-0.005555,-0.005555,-0.005555,-0.005555,0.477713,0.674936,0.500339,3.25504,0.819848,1.03904,4.02021,1.46994,4.42497,2.3693,0.0854659,-0.005555,-0.005555,-0.005555,-0.005555,-0.005555,-0.005555,-0.005555,-0.005555,-0.005555,-0.005555,-0.005555,-0.005555,-0.005555,0.0999468,0.287436,0.499883,0.877003,5.83308,6.44679,6.00032,0.628454,1.16736,0.0984509,0.0851673,-0.005555,-0.005555,-0.005555,-0.005555,-0.005555,-0.005555,-0.005555,-0.005555,-0.005555,-0.005555,-0.005555,-0.005555,-0.005555,6.33771,4.99549,10.6766,12.9635,6.40079,17.1783,18.0799,15.0356,18.3475,8.97271,0.291352,-0.005555,-0.005555,-0.005555,-0.005555,-0.005555,-0.005555,-0.005555,-0.005555,-0.005555,-0.005555,-0.005555,-0.005555,-0.005555,0.0997424,1.74056,17.7899,28.5452,26.5221,26.0018,29.5794,15.5018,8.5712,1.47945,0.197907,-0.005555,-0.005555,-0.005555,-0.005555,-0.005555,-0.005555,-0.005555,-0.005555,-0.005555,-0.005555,-0.005555,-0.005555,-0.005555,0.104281,1.77338,12.7745,11.5171,15.2391,10.397,8.9656,4.26595,0.297229,1.083,0.155203,-0.005555,-0.005555,-0.005555,-0.005555,-0.005555,-0.005555,-0.005555,-0.005555,-0.005555,-0.005555,-0.005555,-0.005555,-0.005555,0.10531,5.03463,10.6831,7.58372,3.40806,18.906,9.27473,9.57415,8.46528,4.0272,0.32124,-0.005555,-0.005555,-0.005555,-0.005555,-0.005555,-0.005555,-0.005555,-0.005555,-0.005555,-0.005555,-0.005555,-0.005555,-0.005555,0.0728568,6.54849,23.1468,28.6586,32.9278,21.6607,13.2595,14.6445,7.61597,0.197656,0.0615498,-0.005555,-0.005555,-0.005555,-0.005555,-0.005555,-0.005555,-0.005555,-0.005555,-0.005555,-0.005555,-0.005555,-0.005555,-0.005555,0.124199,0.30663,3.90495,4.01118,6.65387,16.1477,17.4249,13.8538,8.9263,0.20064,0.150397,-0.005555,-0.005555,-0.005555,-0.005555,-0.005555,-0.005555,-0.005555,-0.005555,-0.005555,-0.005555,-0.005555,-0.005555,-0.005555,4.61533,5.82825,12.8611,27.5371,18.2877,18.4081,15.3739,2.70486,1.93048,1.75293,0.263184,-0.005555,-0.005555,-0.005555,-0.005555,-0.005555,-0.005555,-0.005555,-0.005555,-0.005555,-0.005555,-0.005555,-0.005555,-0.005555,9.41538,20.3989,13.7834,16.5605,23.0404,18.5756,21.4658,28.8051,10.203,4.91847,0.739445,-0.005555,-0.005555,-0.005555,-0.005555,-0.005555,-0.005555,-0.005555,-0.005555,-0.005555,-0.005555,-0.005555,-0.005555,-0.005555,9.96929,20.9472,28.6632,33.9592,35.64,35.64,33.5778,28.8502,21.6939,12.1421,1.62595,-0.005555,-0.005555,-0.005555,-0.005555,-0.005555,-0.005555,-0.005555,-0.005555,-0.005555,-0.005555,-0.005555,-0.005555,-0.005555,10.1852,9.97409,28.1638,33.3349,35.64,35.64,26.7457,28.2811,12.9315,11.5156,0.939206,-0.005555,-0.005555,-0.005555,-0.005555,-0.005555,-0.005555,-0.005555,-0.005555,-0.005555,-0.005555,-0.005555,-0.005555,-0.005555,0.948584,6.86612,20.2325,27.7517,28.4404,29.7502,25.0628,13.9546,7.46571,11.4434,1.04776,-0.005555,-0.005555,-0.005555,-0.005555,-0.005555,-0.005555,-0.005555,-0.005555,-0.005555,-0.005555,-0.005555,-0.005555,-0.005555,1.55441,9.91129,7.40213,25.3124,27.2669,29.0076,25.6567,16.1036,12.7454,6.96653,0.411744,-0.005555,-0.005555,-0.005555,-0.005555,-0.005555,-0.005555,-0.005555,-0.005555,-0.005555,-0.005555,-0.005555,-0.005555,-0.005555,0.0726455,3.29486,9.74734,21.1773,17.7813,14.1114,20.84,7.55201,3.89011,1.20142,0.247422,-0.005555,-0.005555,-0.005555,-0.005555,-0.005555,-0.005555,-0.005555,-0.005555,-0.005555,-0.005555,-0.005555,-0.005555,-0.005555,0.0987903,0.333774,1.00457,4.94982,7.51952,13.4036,9.33095,2.32404,6.56611,2.56629,0.142506,-0.005555,-0.005555,-0.005555,-0.005555,-0.005555,-0.005555,-0.005555,-0.005555,-0.005555,-0.005555,-0.005555,-0.005555,0.0394533,7.41418,12.3243,17.4824,21.8623,20.7346,14.9807,15.5037,13.9524,8.31513,0.0968046,0.22837,-0.005555,-0.005555,-0.005555,-0.005555,-0.005555,-0.005555,-0.005555,-0.005555,-0.005555,-0.005555,-0.005555,-0.005555,-0.005555,0.0990919,0.175214,0.568366,2.02238,5.07966,12.5941,7.43899,9.45312,0.279723,0.308879,0.122369,-0.005555,-0.005555,-0.005555,-0.005555,-0.005555,-0.005555,-0.005555,-0.005555,-0.005555,-0.005555,-0.005555,-0.005555,0.0419091,0.178604,2.2864,5.63492,9.52366,1.51266,19.8948,5.44613,7.85588,1.46498,1.00095,0.187265,-0.005555,-0.005555,-0.005555,-0.005555,-0.005555,-0.005555,-0.005555,-0.005555,-0.005555,-0.005555,-0.005555,-0.005555,0.0711863,0.192155,1.16253,3.13781,9.98709,15.97,8.49233,24.0846,6.95851,2.95337,0.479037,0.447665,-0.005555,-0.005555,-0.005555,-0.005555,-0.005555,-0.005555,-0.005555,-0.005555,-0.005555,-0.005555,-0.005555,-0.005555,0.0482001,0.308658,2.10482,2.73839,8.36764,7.28244,8.9422,8.80342,12.1286,8.02775,1.81275,0.487099,-0.005555,-0.005555,-0.005555,-0.005555,-0.005555,-0.005555,-0.005555,-0.005555,-0.005555,-0.005555,-0.005555,-0.005555,0.0747179,0.307808,7.05291,16.8381,22.123,18.6081,17.797,8.38263,18.3005,6.58697,0.474946,1.11692,-0.005555,-0.005555,-0.005555,-0.005555,-0.005555,-0.005555,-0.005555,-0.005555,-0.005555,-0.005555,-0.005555,-0.005555,0.0754883,0.338141,9.58139,13.3292,8.0151,13.1906,12.8174,14.4741,8.63885,17.172,9.90965,0.896099,-0.005555,-0.005555,-0.005555,-0.005555,-0.005555,-0.005555,-0.005555,-0.005555,-0.005555,-0.005555,-0.005555,-0.005555,0.174008,11.7541,17.5503,17.3031,23.0395,17.6238,24.8226,34.0659,8.6941,11.8078,12.0954,2.22961,-0.005555,-0.005555,-0.005555,-0.005555,-0.005555,-0.005555,-0.005555,-0.005555,-0.005555,-0.005555,-0.005555,-0.005555,0.122903,6.8211,14.9874,18.8867,26.7447,30.6413,23.8041,17.14,8.57917,4.44407,0.557436,0.362608,-0.005555,-0.005555,-0.005555,-0.005555,-0.005555,-0.005555,-0.005555,-0.005555,-0.005555,-0.005555,-0.005555,-0.005555,0.0714469,11.9982,12.2251,23.6912,22.3731,31.5666,30.0657,27.0323,18.8252,11.8725,6.97756,0.650358,-0.005555,-0.005555,-0.005555,-0.005555,-0.005555,-0.005555,-0.005555,-0.005555,-0.005555,-0.005555,-0.005555,-0.005555,0.383825,0.312148,13.052,17.3508,14.6854,7.41239,14.8024,9.64597,9.86438,10.3445,6.89963,0.897607,-0.005555,-0.005555,-0.005555,-0.005555,-0.005555,-0.005555,-0.005555,-0.005555,-0.005555,-0.005555,-0.005555,-0.005555,0.438139,12.3448,21.9877,29.4679,34.4171,35.64,35.64,33.8196,28.6601,21.424,11.9583,2.30342,-0.005555,-0.005555,-0.005555,-0.005555,-0.005555,-0.005555,-0.005555,-0.005555,-0.005555,-0.005555,-0.005555,-0.005555,0.472491,11.8509,21.5696,28.9252,33.8937,35.64,35.64,33.3013,28.0304,21.0036,11.5496,2.28399,-0.005555,-0.005555,-0.005555,-0.005555,-0.005555,-0.005555,-0.005555,-0.005555,-0.005555,-0.005555,-0.005555,-0.005555,0.582148,12.4463,22.0435,29.1883,33.9565,35.64,35.64,32.9848,28.0071,20.9183,11.6504,2.2758,-0.005555,-0.005555,-0.005555,-0.005555,-0.005555,-0.005555,-0.005555,-0.005555,-0.005555,-0.005555,-0.005555,-0.005555,0.628895,12.1405,21.056,27.6352,32.1976,34.7738,34.849,32.1821,27.4673,15.3274,6.9017,2.06237,-0.005555,-0.005555,-0.005555,-0.005555,-0.005555,-0.005555,-0.005555,-0.005555,-0.005555,-0.005555,-0.005555,-0.005555,0.601766,11.4048,20.5876,27.3738,32.2113,34.8936,26.0497,20.6373,18.5622,19.8717,7.54811,0.418518,-0.005555,-0.005555,-0.005555,-0.005555,-0.005555,-0.005555,-0.005555,-0.005555,-0.005555,-0.005555,-0.005555,-0.005555,0.0716481,3.92012,10.2693,16.0684,12.8849,15.7843,16.0795,9.34657,9.316,12.1791,6.2813,0.428632,-0.005555,-0.005555,-0.005555,-0.005555,-0.005555,-0.005555,-0.005555,-0.005555,-0.005555,-0.005555,-0.005555,-0.005555,0.73034,12.8559,22.2925,19.3838,34.2598,35.64,35.64,33.3775,28.348,21.2359,11.7784,2.36138,-0.005555,-0.005555,-0.005555,-0.005555,-0.005555,-0.005555,-0.005555,-0.005555,-0.005555,-0.005555,-0.005555,-0.005555,2.85767,12.9392,22.148,29.1674,33.9031,35.64,35.5968,32.9006,27.8054,20.8014,11.5672,2.31385,-0.005555,-0.005555,-0.005555,-0.005555,-0.005555,-0.005555,-0.005555,-0.005555,-0.005555,-0.005555,-0.005555,-0.005555,2.71359,12.0274,20.5857,27.0338,31.223,33.1029,25.0711,6.28193,6.90878,11.5474,6.58141,0.344751,-0.005555,-0.005555,-0.005555,-0.005555,-0.005555,-0.005555,-0.005555,-0.005555,-0.005555,-0.005555,-0.005555,-0.005555,0.0725756,3.99811,10.043,15.3337,3.26506,6.82005,15.1552,16.6304,17.9666,14.6465,6.90259,0.478664,-0.005555,-0.005555,-0.005555,-0.005555,-0.005555,-0.005555,-0.005555,-0.005555,-0.005555,-0.005555,-0.005555,-0.005555,1.51364,6.73771,10.2156,21.8574,20.5368,25.6887,16.8685,16.8904,19.2149,14.4442,3.97288,0.141034,-0.005555,-0.005555,-0.005555,-0.005555,-0.005555,-0.005555,-0.005555,-0.005555,-0.005555,-0.005555,-0.005555,-0.005555,2.35157,10.8746,20.2351,27.5316,32.4493,22.4919,34.4666,32.1734,27.4003,20.2676,11.0243,2.44994,-0.005555,-0.005555,-0.005555,-0.005555,-0.005555,-0.005555,-0.005555,-0.005555,-0.005555,-0.005555,-0.005555,-0.005555,1.1314,5.44373,12.7228,7.14141,8.31886,9.18986,12.5178,8.3186,7.05191,3.18976,0.460953,0.0940898,-0.005555,-0.005555,-0.005555,-0.005555,-0.005555,-0.005555,-0.005555,-0.005555,-0.005555,-0.005555,-0.005555,-0.005555,0.0982525,2.78512,3.2673,8.52882,17.393,11.7435,6.28083,7.88579,7.46713,7.19822,5.00745,0.537964,-0.005555,-0.005555,-0.005555,-0.005555,-0.005555,-0.005555,-0.005555,-0.005555,-0.005555,-0.005555,-0.005555,-0.005555,2.64608,10.884,19.7481,26.6997,30.791,33.1485,32.639,30.209,25.571,18.7248,8.91023,2.5939,-0.005555,-0.005555,-0.005555,-0.005555,-0.005555,-0.005555,-0.005555,-0.005555,-0.005555,-0.005555,-0.005555,-0.005555,2.14137,7.282,19.9208,26.7706,31.3066,33.0987,32.2965,28.7678,25.7753,18.2747,8.46341,2.42046,-0.005555,-0.005555,-0.005555,-0.005555,-0.005555,-0.005555,-0.005555,-0.005555,-0.005555,-0.005555,-0.005555,-0.005555,1.71481,5.97817,18.5238,25.3929,30.2807,25.2889,24.3689,20.0613,12.0474,2.84605,1.86788,2.36393,-0.005555,-0.005555,-0.005555,-0.005555,-0.005555,-0.005555,-0.005555,-0.005555,-0.005555,-0.005555,-0.005555,-0.005555,0.0723541,5.62493,12.1888,7.32895,10.9464,10.966,6.59295,24.6399,5.0981,14.2583,5.43229,0.0957272,-0.005555,-0.005555,-0.005555,-0.005555,-0.005555,-0.005555,-0.005555,-0.005555,-0.005555,-0.005555,-0.005555,-0.005555,0.0739399,2.40984,9.61814,16.9958,23.3032,28.4163,25.8152,14.9146,15.2422,11.5548,8.37475,0.146553,-0.005555,-0.005555,-0.005555,-0.005555,-0.005555,-0.005555,-0.005555,-0.005555,-0.005555,-0.005555,-0.005555,-0.005555,0.125665,0.582582,3.50354,5.71641,10.9975,22.9829,34.4593,32.0459,17.1919,11.0475,11.0306,2.51165,-0.005555,-0.005555,-0.005555,-0.005555,-0.005555,-0.005555,-0.005555,-0.005555,-0.005555,-0.005555,-0.005555,-0.005555,0.365957,5.82708,11.3711,15.1986,20.5481,22.7314,23.8828,22.5706,18.653,15.7817,8.31417,1.69432,-0.005555,-0.005555,-0.005555,-0.005555,-0.005555,-0.005555,-0.005555,-0.005555,-0.005555,-0.005555,-0.005555,-0.005555,3.94293,13.5188,22.391,29.0126,33.4446,32.3552,35.3189,32.3936,27.3927,20.403,11.1509,2.25703,-0.005555,-0.005555,-0.005555,-0.005555,-0.005555,-0.005555,-0.005555,-0.005555,-0.005555,-0.005555,-0.005555,-0.005555,1.85992,11.0135,16.5843,28.2658,32.6594,34.4856,28.1114,31.4251,26.4518,19.6712,10.6813,2.31851,-0.005555,-0.005555,-0.005555,-0.005555,-0.005555,-0.005555,-0.005555,-0.005555,-0.005555,-0.005555,-0.005555,-0.005555,3.84767,12.8143,21.0961,27.516,31.7429,33.8837,24.8259,25.9289,20.1286,1.46776,0.59041,0.0949362,-0.005555,-0.005555,-0.005555,-0.005555,-0.005555,-0.005555,-0.005555,-0.005555,-0.005555,-0.005555,-0.005555,-0.005555,0.0996353,4.33034,2.24952,6.63925,6.35473,3.87907,11.87,10.6516,12.9582,15.4153,0.280705,0.0972178,-0.005555,-0.005555,-0.005555,-0.005555,-0.005555,-0.005555,-0.005555,-0.005555,-0.005555,-0.005555,-0.005555,-0.005555,0.919496,4.78469,1.77123,12.6969,12.1728,7.48845,7.06853,8.95786,7.88347,2.34378,4.06947,0.655613,-0.005555,-0.005555,-0.005555,-0.005555,-0.005555,-0.005555,-0.005555,-0.005555,-0.005555,-0.005555,-0.005555,-0.005555,1.18421,2.69093,5.99692,8.612,6.25804,9.5589,13.9901,13.0889,8.52804,5.19562,3.29991,0.766527,-0.005555,-0.005555,-0.005555,-0.005555,-0.005555,-0.005555,-0.005555,-0.005555,-0.005555,-0.005555,-0.005555,0.0396996,0.152959,1.6816,4.29071,5.7111,7.56839,9.22093,9.75637,14.7698,5.89362,4.35422,2.36971,0.876464,0.172674,-0.005555,-0.005555,-0.005555,-0.005555,-0.005555,-0.005555,-0.005555,-0.005555,-0.005555,-0.005555,0.211723,4.29431,13.4688,21.8961,28.1539,32.094,17.8913,16.492,10.7069,17.6699,7.59581,2.86959,2.31772,0.398499,-0.005555,-0.005555,-0.005555,-0.005555,-0.005555,-0.005555,-0.005555,-0.005555,-0.005555,-0.005555,0.0836952,0.530228,10.0846,11.4479,28.1555,29.4109,33.9359,23.8096,12.1045,12.3226,12.4626,0.975547,3.27743,0.105069,-0.005555,-0.005555,-0.005555,-0.005555,-0.005555,-0.005555,-0.005555,-0.005555,-0.005555,-0.005555,0.0874153,1.89562,8.08087,16.0864,27.608,17.9107,16.2577,8.8343,4.5322,13.1472,12.0625,9.14265,2.23322,0.127908,-0.005555,-0.005555,-0.005555,-0.005555,-0.005555,-0.005555,-0.005555,-0.005555,-0.005555,-0.005555,0.184151,3.90938,6.59168,12.5858,20.0491,19.8739,25.6563,14.1619,24.2532,16.1126,11.2082,8.84625,0.544233,0.0834233,-0.005555,-0.005555,-0.005555,-0.005555,-0.005555,-0.005555,-0.005555,-0.005555,-0.005555,-0.005555,0.349053,4.55879,13.8977,22.1862,28.2893,32.5415,34.4116,34.105,31.3392,26.5597,19.8274,10.7147,2.215,0.441603,-0.005555,-0.005555,-0.005555,-0.005555,-0.005555,-0.005555,-0.005555,-0.005555,-0.005555,-0.005555,0.372067,4.62832,14.0605,22.1017,28.4166,32.4761,34.322,33.9027,31.2931,26.4803,19.7551,10.6296,2.17305,0.464461,-0.005555,-0.005555,-0.005555,-0.005555,-0.005555,-0.005555,-0.005555,-0.005555,-0.005555,-0.005555,0.401613,4.65546,14.0426,22.0603,28.0926,31.8155,33.5954,32.6927,29.9679,25.3274,18.957,10.3261,2.20883,0.481127,-0.005555,-0.005555,-0.005555,-0.005555,-0.005555,-0.005555,-0.005555,-0.005555,-0.005555,-0.005555,0.422728,4.59078,13.7373,21.5487,27.3439,30.932,32.6849,32.281,29.6468,25.0434,18.6906,10.1837,2.18045,0.479777,-0.005555,-0.005555,-0.005555,-0.005555,-0.005555,-0.005555,-0.005555,-0.005555,-0.005555,-0.005555,0.449107,4.64577,13.7775,21.7015,27.7148,31.7469,33.3062,32.855,30.1875,25.5099,18.9257,10.2289,2.1059,0.478033,-0.005555,-0.005555,-0.005555,-0.005555,-0.005555,-0.005555,-0.005555,-0.005555,-0.005555,-0.005555,0.446462,4.68451,13.7634,21.59,27.5622,31.4236,33.261,32.7478,29.899,25.0513,18.6245,10.0094,2.12305,0.514193,-0.005555,-0.005555,-0.005555,-0.005555,-0.005555,-0.005555,-0.005555,-0.005555,-0.005555,-0.005555,0.515436,4.59532,13.4485,21.0451,26.3027,29.8486,31.3052,30.886,28.5024,24.2286,18.0395,8.91147,2.86731,0.514296,-0.005555,-0.005555,-0.005555,-0.005555,-0.005555,-0.005555,-0.005555,-0.005555,-0.005555,-0.005555,0.56071,4.6018,13.375,21.301,27.1323,31.067,32.9859,32.4165,29.7755,24.8587,18.4515,9.88064,2.33489,0.610048,-0.005555,-0.005555,-0.005555,-0.005555,-0.005555,-0.005555,-0.005555,-0.005555,-0.005555,-0.005555,0.584254,2.78289,11.6245,19.8456,20.4284,26.2138,26.0282,27.4822,30.8255,25.9271,19.1275,8.21911,2.94219,0.848166,-0.005555,-0.005555,-0.005555,-0.005555,-0.005555,-0.005555,-0.005555,-0.005555,-0.005555,-0.005555,0.504263,0.0966614,0.941105,8.12535,6.89474,8.22855,6.08854,16.4533,0.752619,16.9698,18.2972,9.39095,0.197462,0.260056,-0.005555,-0.005555,-0.005555,-0.005555,-0.005555,-0.005555,-0.005555,-0.005555,-0.005555,-0.005555,0.327094,4.89381,8.69847,15.4673,15.2648,27.7736,21.9546,27.3347,20.3148,17.9967,11.997,5.29561,2.5865,0.487396,-0.005555,-0.005555,-0.005555,-0.005555,-0.005555,-0.005555,-0.005555,-0.005555,-0.005555,-0.005555,0.405678,4.84994,12.8195,17.5757,27.7321,28.138,29.9875,28.9108,29.9999,18.9087,15.4904,8.23715,3.55155,0.166993,-0.005555,-0.005555,-0.005555,-0.005555,-0.005555,-0.005555,-0.005555,-0.005555,-0.005555,-0.005555,0.560191,0.121569,6.00064,13.4493,8.08722,12.8004,20.8234,26.888,23.9718,7.854,9.50109,7.5815,0.243291,0.275103,-0.005555,-0.005555,-0.005555,-0.005555,-0.005555,-0.005555,-0.005555,-0.005555,-0.005555,-0.005555,0.641157,4.73457,12.6929,20.2994,26.3214,30.1828,23.7375,29.5595,26.8306,20.4403,14.6906,8.67421,3.40056,0.394978,-0.005555,-0.005555,-0.005555,-0.005555,-0.005555,-0.005555,-0.005555,-0.005555,-0.005555,-0.005555,0.925666,4.83573,12.4011,14.813,17.7697,6.11533,19.7955,24.5367,22.2944,3.0025,12.2372,4.02473,3.11108,0.719568,-0.005555,-0.005555,-0.005555,-0.005555,-0.005555,-0.005555,-0.005555,-0.005555,-0.005555,-0.005555,0.0723067,0.126104,3.10528,1.99152,1.71752,1.65009,10.9763,15.1223,19.2289,16.4276,9.07319,1.04379,1.52862,0.100734,-0.005555,-0.005555,-0.005555,-0.005555,-0.005555,-0.005555,-0.005555,-0.005555,-0.005555,-0.005555,0.630673,1.34028,7.37393,9.79227,5.48747,18.536,10.1995,17.8145,19.6803,15.8801,12.8022,2.24711,2.90487,0.760142,-0.005555,-0.005555,-0.005555,-0.005555,-0.005555,-0.005555,-0.005555,-0.005555,-0.005555,-0.005555,0.0713979,2.91754,5.76776,15.2433,11.4412,14.8784,24.4065,3.15199,4.11071,7.28693,3.96826,1.37979,0.223366,0.140218,-0.005555,-0.005555,-0.005555,-0.005555,-0.005555,-0.005555,-0.005555,-0.005555,-0.005555,-0.005555,0.0709347,2.33284,9.61253,12.6051,26.5407,25.6501,24.6675,20.8619,5.79959,6.09897,5.5449,5.48814,2.28065,0.1839,-0.005555,-0.005555,-0.005555,-0.005555,-0.005555,-0.005555,-0.005555,-0.005555,-0.005555,-0.005555,0.896153,4.50187,10.4541,21.6368,27.4415,31.233,32.7068,32.163,29.6038,24.9674,18.6828,10.0927,2.23086,0.759324,-0.005555,-0.005555,-0.005555,-0.005555,-0.005555,-0.005555,-0.005555,-0.005555,-0.005555,-0.005555,0.781582,5.06004,14.0591,21.7592,27.4912,31.0663,29.9945,31.8668,29.1172,24.532,18.2735,9.90391,2.96217,0.715405,-0.005555,-0.005555,-0.005555,-0.005555,-0.005555,-0.005555,-0.005555,-0.005555,-0.005555,-0.005555,0.486335,5.15047,12.1647,17.7038,22.0004,26.3618,28.7659,28.1595,24.9277,24.1724,17.9702,9.65198,2.04186,0.944622,-0.005555,-0.005555,-0.005555,-0.005555,-0.005555,-0.005555,-0.005555,-0.005555,-0.005555,-0.005555,0.717505,4.92225,13.6821,19.5615,24.9499,30.3875,32.0163,31.4757,28.7932,24.0857,17.7984,9.59322,2.64257,0.988289,-0.005555,-0.005555,-0.005555,-0.005555,-0.005555,-0.005555,-0.005555,-0.005555,-0.005555,-0.005555,1.14107,5.01441,8.88232,12.575,13.7475,19.9953,28.7711,26.7192,21.8575,23.1354,17.1045,8.33028,2.73677,1.05652,-0.005555,-0.005555,-0.005555,-0.005555,-0.005555,-0.005555,-0.005555,-0.005555,-0.005555,-0.005555,1.23257,5.17895,9.0017,19.9116,21.9978,28.9763,30.6096,30.1115,18.4275,16.8534,17.0474,3.67282,0.114665,1.06585,-0.005555,-0.005555,-0.005555,-0.005555,-0.005555,-0.005555,-0.005555,-0.005555,-0.005555,-0.005555,0.85455,4.84788,9.71423,16.655,20.6139,20.7296,27.5591,22.5978,25.4102,24.1684,13.8751,2.69965,3.05746,0.426977,-0.005555,-0.005555,-0.005555,-0.005555,-0.005555,-0.005555,-0.005555,-0.005555,-0.005555,-0.005555,0.145932,0.1211,6.17974,14.6655,16.0048,25.2479,23.1787,20.2197,13.741,5.08861,17.7335,9.83478,2.78006,0.959035,-0.005555,-0.005555,-0.005555,-0.005555,-0.005555,-0.005555,-0.005555,-0.005555,-0.005555,-0.005555,1.59091,2.20291,7.80536,14.8325,22.2803,26.9972,27.6162,27.8041,24.3444,16.9266,11.2984,8.33105,2.51936,0.171293,-0.005555,-0.005555,-0.005555,-0.005555,-0.005555,-0.005555,-0.005555,-0.005555,-0.005555,-0.005555,1.33149,3.49819,5.82558,12.3292,13.9504,16.4584,10.8946,19.4501,27.4189,18.3203,17.3966,4.46399,2.49565,0.653013,-0.005555,-0.005555,-0.005555,-0.005555,-0.005555,-0.005555,-0.005555,-0.005555,-0.005555,-0.005555,1.2693,5.17036,12.0721,16.1627,25.0634,26.9882,23.4601,14.6458,20.4192,16.8198,0.430821,2.69052,3.29555,0.599885,-0.005555,-0.005555,-0.005555,-0.005555,-0.005555,-0.005555,-0.005555,-0.005555,-0.005555,-0.005555,0.119708,0.833669,9.43668,12.782,18.7092,20.4985,20.9194,20.7054,6.29338,5.687,2.52667,6.08676,0.55169,0.561546,-0.005555,-0.005555,-0.005555,-0.005555,-0.005555,-0.005555,-0.005555,-0.005555,-0.005555,-0.005555,1.07153,0.322426,0.215738,14.6393,19.9892,28.1377,23.8132,21.026,6.9497,19.0498,13.8971,7.96711,4.18815,1.21644,-0.005555,-0.005555,-0.005555,-0.005555,-0.005555,-0.005555,-0.005555,-0.005555,-0.005555,-0.005555,1.16266,5.23091,10.8998,20.6995,19.4198,20.6411,6.37957,25.1726,24.3832,9.7286,13.681,9.01108,2.63248,1.32593,-0.005555,-0.005555,-0.005555,-0.005555,-0.005555,-0.005555,-0.005555,-0.005555,-0.005555,-0.005555,1.01812,4.92321,13.3939,20.7946,26.3516,30.0602,31.5278,31.0228,21.9169,17.9987,17.9706,9.76689,2.47545,1.123,-0.005555,-0.005555,-0.005555,-0.005555,-0.005555,-0.005555,-0.005555,-0.005555,-0.005555,-0.005555,1.13794,5.26764,11.103,20.281,24.1158,25.757,23.1125,29.6866,27.1031,22.9018,17.2054,9.53223,2.8087,1.15698,-0.005555,-0.005555,-0.005555,-0.005555,-0.005555,-0.005555,-0.005555,-0.005555,-0.005555,-0.005555,1.15129,4.81483,11.7626,19.2711,24.3691,27.5153,29.205,28.9162,26.8864,22.4742,16.581,9.31113,3.39792,1.2652,-0.005555,-0.005555,-0.005555,-0.005555,-0.005555,-0.005555,-0.005555,-0.005555,-0.005555,-0.005555,1.43212,5.43742,11.2469,17.848,23.5178,27.4812,29.9036,29.5438,20.9173,18.3107,16.7793,9.10907,3.23166,1.28158,-0.005555,-0.005555,-0.005555,-0.005555,-0.005555,-0.005555,-0.005555,-0.005555,-0.005555,-0.005555,1.34957,2.89873,11.4269,17.4729,24.4093,23.8994,30.0052,29.5949,22.6308,20.4983,12.3424,8.62638,3.91004,0.156651,-0.005555,-0.005555,-0.005555,-0.005555,-0.005555,-0.005555,-0.005555,-0.005555,-0.005555,-0.005555,0.0690661,2.45952,10.346,17.2221,21.7555,19.6516,20.0718,9.79671,7.53054,18.6041,14.24,</t>
  </si>
  <si>
    <t>-0.00404,-0.00404,-0.00404,-0.00404,-0.00404,-0.00404,-0.00404,-0.00404,50.5873,372.42,478.427,495.0,495.0,377.437,85.4629,218.61,29.3868,-0.00404,-0.00404,-0.00404,-0.00404,-0.00404,-0.00404,-0.00404,-0.00404,-0.00404,-0.00404,-0.00404,-0.00404,-0.00404,-0.00404,-0.00404,49.9492,99.7626,473.619,15.7594,275.807,60.7552,95.7322,101.439,2.06718,-0.00404,-0.00404,-0.00404,-0.00404,-0.00404,-0.00404,-0.00404,-0.00404,-0.00404,-0.00404,-0.00404,-0.00404,-0.00404,-0.00404,-0.00404,3.62015,93.678,67.1185,495.0,281.554,495.0,173.096,62.4928,1.63381,-0.00404,-0.00404,-0.00404,-0.00404,-0.00404,-0.00404,-0.00404,-0.00404,-0.00404,-0.00404,-0.00404,-0.00404,-0.00404,-0.00404,-0.00404,241.149,394.964,495.0,495.0,495.0,495.0,407.543,259.216,52.4929,-0.00404,-0.00404,-0.00404,-0.00404,-0.00404,-0.00404,-0.00404,-0.00404,-0.00404,-0.00404,-0.00404,-0.00404,-0.00404,-0.00404,-0.00404,3.16799,58.6301,17.8013,21.7306,23.4412,15.4309,11.5128,3.10437,4.29383,-0.00404,-0.00404,-0.00404,-0.00404,-0.00404,-0.00404,-0.00404,-0.00404,-0.00404,-0.00404,-0.00404,-0.00404,-0.00404,-0.00404,-0.00404,12.5848,43.5532,72.1023,109.131,289.673,92.4229,53.0495,25.3298,3.95375,-0.00404,-0.00404,-0.00404,-0.00404,-0.00404,-0.00404,-0.00404,-0.00404,-0.00404,-0.00404,-0.00404,-0.00404,-0.00404,-0.00404,-0.00404,63.9319,429.533,495.0,214.384,236.931,495.0,85.4732,32.0884,13.9793,-0.00404,-0.00404,-0.00404,-0.00404,-0.00404,-0.00404,-0.00404,-0.00404,-0.00404,-0.00404,-0.00404,-0.00404,-0.00404,-0.00404,-0.00404,19.4268,78.4423,273.672,111.628,292.194,96.4949,128.12,29.8948,8.18675,-0.00404,-0.00404,-0.00404,-0.00404,-0.00404,-0.00404,-0.00404,-0.00404,-0.00404,-0.00404,-0.00404,-0.00404,-0.00404,-0.00404,-0.00404,273.684,447.613,495.0,495.0,495.0,495.0,468.51,301.182,74.0131,-0.00404,-0.00404,-0.00404,-0.00404,-0.00404,-0.00404,-0.00404,-0.00404,-0.00404,-0.00404,-0.00404,-0.00404,-0.00404,-0.00404,-0.00404,14.5396,31.3764,247.686,268.89,164.441,495.0,165.167,285.804,8.02626,-0.00404,-0.00404,-0.00404,-0.00404,-0.00404,-0.00404,-0.00404,-0.00404,-0.00404,-0.00404,-0.00404,-0.00404,-0.00404,-0.00404,-0.00404,10.239,418.001,126.233,129.447,82.2296,119.112,177.829,136.342,2.47669,-0.00404,-0.00404,-0.00404,-0.00404,-0.00404,-0.00404,-0.00404,-0.00404,-0.00404,-0.00404,-0.00404,-0.00404,-0.00404,-0.00404,-0.00404,9.61676,78.5178,356.969,311.035,74.4698,78.5153,38.178,17.9197,6.86711,-0.00404,-0.00404,-0.00404,-0.00404,-0.00404,-0.00404,-0.00404,-0.00404,-0.00404,-0.00404,-0.00404,-0.00404,-0.00404,-0.00404,-0.00404,12.5297,73.495,14.0726,17.3572,175.303,84.0766,42.3332,22.5952,3.35281,-0.00404,-0.00404,-0.00404,-0.00404,-0.00404,-0.00404,-0.00404,-0.00404,-0.00404,-0.00404,-0.00404,-0.00404,-0.00404,-0.00404,-0.00404,10.2671,121.364,263.131,44.679,41.7348,107.921,74.2346,23.764,2.0653,-0.00404,-0.00404,-0.00404,-0.00404,-0.00404,-0.00404,-0.00404,-0.00404,-0.00404,-0.00404,-0.00404,-0.00404,-0.00404,-0.00404,-0.00404,28.584,37.0788,78.6857,93.8444,78.1912,54.5269,49.6415,25.5297,2.0427,-0.00404,-0.00404,-0.00404,-0.00404,-0.00404,-0.00404,-0.00404,-0.00404,-0.00404,-0.00404,-0.00404,-0.00404,-0.00404,-0.00404,-0.00404,14.9973,48.2066,92.797,123.962,139.246,424.446,464.862,320.01,89.9666,-0.00404,-0.00404,-0.00404,-0.00404,-0.00404,-0.00404,-0.00404,-0.00404,-0.00404,-0.00404,-0.00404,-0.00404,-0.00404,-0.00404,-0.00404,5.57013,50.0173,95.7788,91.6942,196.07,137.468,453.277,306.838,11.7036,-0.00404,-0.00404,-0.00404,-0.00404,-0.00404,-0.00404,-0.00404,-0.00404,-0.00404,-0.00404,-0.00404,-0.00404,-0.00404,-0.00404,-0.00404,5.5283,451.73,495.0,495.0,495.0,495.0,457.322,313.24,4.47784,-0.00404,-0.00404,-0.00404,-0.00404,-0.00404,-0.00404,-0.00404,-0.00404,-0.00404,-0.00404,-0.00404,-0.00404,-0.00404,-0.00404,-0.00404,4.83203,10.4237,46.2423,166.291,168.208,90.2492,132.379,301.969,13.884,-0.00404,-0.00404,-0.00404,-0.00404,-0.00404,-0.00404,-0.00404,-0.00404,-0.00404,-0.00404,-0.00404,-0.00404,-0.00404,-0.00404,-0.00404,4.18774,79.3054,196.682,495.0,495.0,495.0,436.683,86.3546,18.5001,-0.00404,-0.00404,-0.00404,-0.00404,-0.00404,-0.00404,-0.00404,-0.00404,-0.00404,-0.00404,-0.00404,-0.00404,-0.00404,-0.00404,-0.00404,3.0717,25.9812,79.1465,86.6685,94.295,93.144,71.1658,44.0168,15.6836,-0.00404,-0.00404,-0.00404,-0.00404,-0.00404,-0.00404,-0.00404,-0.00404,-0.00404,-0.00404,-0.00404,-0.00404,-0.00404,-0.00404,2.09266,48.804,118.392,151.015,157.81,164.46,141.351,89.5036,47.464,13.1421,-0.00404,-0.00404,-0.00404,-0.00404,-0.00404,-0.00404,-0.00404,-0.00404,-0.00404,-0.00404,-0.00404,-0.00404,-0.00404,-0.00404,1.65041,31.4235,77.8733,102.408,144.19,391.79,199.094,70.9578,48.4876,21.0276,-0.00404,-0.00404,-0.00404,-0.00404,-0.00404,-0.00404,-0.00404,-0.00404,-0.00404,-0.00404,-0.00404,-0.00404,-0.00404,-0.00404,2.94532,43.312,84.8478,121.258,166.172,200.902,140.081,76.521,42.9165,14.5873,-0.00404,-0.00404,-0.00404,-0.00404,-0.00404,-0.00404,-0.00404,-0.00404,-0.00404,-0.00404,-0.00404,-0.00404,-0.00404,-0.00404,2.32441,26.2566,54.3754,70.0443,136.885,87.4492,47.4453,28.7192,17.2314,6.85929,-0.00404,-0.00404,-0.00404,-0.00404,-0.00404,-0.00404,-0.00404,-0.00404,-0.00404,-0.00404,-0.00404,-0.00404,-0.00404,-0.00404,1.54362,20.5198,44.7951,89.2875,129.171,125.429,75.109,33.8695,16.6041,6.06549,-0.00404,-0.00404,-0.00404,-0.00404,-0.00404,-0.00404,-0.00404,-0.00404,-0.00404,-0.00404,-0.00404,-0.00404,-0.00404,-0.00404,2.00005,12.0836,23.0821,43.1586,70.398,61.6968,44.4911,25.4516,10.9262,4.37447,-0.00404,-0.00404,-0.00404,-0.00404,-0.00404,-0.00404,-0.00404,-0.00404,-0.00404,-0.00404,-0.00404,-0.00404,-0.00404,-0.00404,4.2502,79.0387,221.813,180.853,172.131,261.505,344.685,443.7,313.882,127.278,-0.00404,-0.00404,-0.00404,-0.00404,-0.00404,-0.00404,-0.00404,-0.00404,-0.00404,-0.00404,-0.00404,-0.00404,-0.00404,-0.00404,12.8459,180.992,332.349,442.385,495.0,495.0,495.0,449.575,248.799,47.0946,-0.00404,-0.00404,-0.00404,-0.00404,-0.00404,-0.00404,-0.00404,-0.00404,-0.00404,-0.00404,-0.00404,-0.00404,-0.00404,-0.00404,3.90501,15.2147,14.012,17.9384,22.424,21.3093,23.4195,23.0989,18.6223,8.77851,-0.00404,-0.00404,-0.00404,-0.00404,-0.00404,-0.00404,-0.00404,-0.00404,-0.00404,-0.00404,-0.00404,-0.00404,-0.00404,-0.00404,2.59701,15.7595,28.8396,37.9713,25.5324,20.266,23.949,25.2097,18.614,9.30512,-0.00404,-0.00404,-0.00404,-0.00404,-0.00404,-0.00404,-0.00404,-0.00404,-0.00404,-0.00404,-0.00404,-0.00404,-0.00404,-0.00404,2.16913,15.2557,31.6277,41.4594,42.7823,41.0954,40.6767,29.1927,21.9802,8.48246,-0.00404,-0.00404,-0.00404,-0.00404,-0.00404,-0.00404,-0.00404,-0.00404,-0.00404,-0.00404,-0.00404,-0.00404,-0.00404,-0.00404,7.42503,139.165,434.177,495.0,495.0,495.0,495.0,457.583,287.65,93.9918,-0.00404,-0.00404,-0.00404,-0.00404,-0.00404,-0.00404,-0.00404,-0.00404,-0.00404,-0.00404,-0.00404,-0.00404,-0.00404,-0.00404,73.529,281.501,425.432,495.0,495.0,495.0,495.0,446.112,320.798,146.657,-0.00404,-0.00404,-0.00404,-0.00404,-0.00404,-0.00404,-0.00404,-0.00404,-0.00404,-0.00404,-0.00404,-0.00404,-0.00404,-0.00404,31.0308,235.318,386.447,474.299,348.915,495.0,338.965,450.477,326.003,147.494,-0.00404,-0.00404,-0.00404,-0.00404,-0.00404,-0.00404,-0.00404,-0.00404,-0.00404,-0.00404,-0.00404,-0.00404,-0.00404,-0.00404,1.30368,284.863,431.357,495.0,495.0,495.0,495.0,453.473,327.866,152.233,-0.00404,-0.00404,-0.00404,-0.00404,-0.00404,-0.00404,-0.00404,-0.00404,-0.00404,-0.00404,-0.00404,-0.00404,-0.00404,-0.00404,1.3112,6.83121,33.7977,114.299,9.02112,15.9643,22.595,100.701,148.272,6.50614,-0.00404,-0.00404,-0.00404,-0.00404,-0.00404,-0.00404,-0.00404,-0.00404,-0.00404,-0.00404,-0.00404,-0.00404,-0.00404,-0.00404,1.32085,4.33915,8.81903,19.4537,15.7169,31.6603,181.289,113.314,6.74523,2.71441,-0.00404,-0.00404,-0.00404,-0.00404,-0.00404,-0.00404,-0.00404,-0.00404,-0.00404,-0.00404,-0.00404,-0.00404,-0.00404,-0.00404,1.31856,4.31896,90.4587,47.4574,16.7426,125.308,109.044,128.418,31.855,1.78408,-0.00404,-0.00404,-0.00404,-0.00404,-0.00404,-0.00404,-0.00404,-0.00404,-0.00404,-0.00404,-0.00404,-0.00404,-0.00404,-0.00404,1.80216,3.35153,65.0088,30.0228,181.723,117.683,164.615,111.913,37.41,10.6616,-0.00404,-0.00404,-0.00404,-0.00404,-0.00404,-0.00404,-0.00404,-0.00404,-0.00404,-0.00404,-0.00404,-0.00404,-0.00404,-0.00404,1.81122,4.35301,9.34407,34.6818,76.5139,120.196,86.8145,69.7482,194.54,13.7312,-0.00404,-0.00404,-0.00404,-0.00404,-0.00404,-0.00404,-0.00404,-0.00404,-0.00404,-0.00404,-0.00404,-0.00404,-0.00404,-0.00404,4.24493,299.039,215.847,456.962,375.698,495.0,360.01,258.125,160.668,18.1365,-0.00404,-0.00404,-0.00404,-0.00404,-0.00404,-0.00404,-0.00404,-0.00404,-0.00404,-0.00404,-0.00404,-0.00404,-0.00404,-0.00404,1.82259,184.943,449.67,323.696,495.0,383.878,109.442,121.836,36.7594,25.1101,-0.00404,-0.00404,-0.00404,-0.00404,-0.00404,-0.00404,-0.00404,-0.00404,-0.00404,-0.00404,-0.00404,-0.00404,-0.00404,-0.00404,1.81862,2.84354,87.7235,259.992,158.464,131.806,188.219,79.4197,9.7671,9.15781,-0.00404,-0.00404,-0.00404,-0.00404,-0.00404,-0.00404,-0.00404,-0.00404,-0.00404,-0.00404,-0.00404,-0.00404,-0.00404,-0.00404,1.82149,2.84838,34.0788,103.36,165.96,192.577,168.873,32.2965,3.82059,2.3107,-0.00404,-0.00404,-0.00404,-0.00404,-0.00404,-0.00404,-0.00404,-0.00404,-0.00404,-0.00404,-0.00404,-0.00404,-0.00404,-0.00404,2.32979,7.95892,17.1604,57.4059,131.101,219.777,207.597,262.401,153.301,13.3896,-0.00404,-0.00404,-0.00404,-0.00404,-0.00404,-0.00404,-0.00404,-0.00404,-0.00404,-0.00404,-0.00404,-0.00404,-0.00404,-0.00404,3.30819,5.37455,175.218,321.017,356.351,198.197,89.4339,104.142,95.7816,3.78217,-0.00404,-0.00404,-0.00404,-0.00404,-0.00404,-0.00404,-0.00404,-0.00404,-0.00404,-0.00404,-0.00404,-0.00404,-0.00404,-0.00404,89.9667,269.355,402.837,490.408,495.0,495.0,495.0,429.866,315.223,153.172,-0.00404,-0.00404,-0.00404,-0.00404,-0.00404,-0.00404,-0.00404,-0.00404,-0.00404,-0.00404,-0.00404,-0.00404,-0.00404,-0.00404,77.719,259.744,396.053,489.502,495.0,495.0,495.0,446.038,330.988,168.807,-0.00404,-0.00404,-0.00404,-0.00404,-0.00404,-0.00404,-0.00404,-0.00404,-0.00404,-0.00404,-0.00404,-0.00404,-0.00404,-0.00404,109.326,288.961,422.32,495.0,356.378,341.158,177.403,160.017,104.96,21.8712,-0.00404,-0.00404,-0.00404,-0.00404,-0.00404,-0.00404,-0.00404,-0.00404,-0.00404,-0.00404,-0.00404,-0.00404,-0.00404,-0.00404,110.526,292.733,427.265,495.0,495.0,495.0,495.0,447.908,327.933,169.829,1.45563,-0.00404,-0.00404,-0.00404,-0.00404,-0.00404,-0.00404,-0.00404,-0.00404,-0.00404,-0.00404,-0.00404,-0.00404,-0.00404,110.524,289.407,418.46,495.0,495.0,495.0,495.0,253.85,308.746,35.1578,3.01571,-0.00404,-0.00404,-0.00404,-0.00404,-0.00404,-0.00404,-0.00404,-0.00404,-0.00404,-0.00404,-0.00404,-0.00404,-0.00404,82.8922,252.415,398.417,495.0,265.509,208.271,182.867,184.396,150.138,36.922,1.85205,-0.00404,-0.00404,-0.00404,-0.00404,-0.00404,-0.00404,-0.00404,-0.00404,-0.00404,-0.00404,-0.00404,-0.00404,-0.00404,8.20128,11.5873,8.59087,55.753,14.0771,17.8401,68.7822,25.2364,75.1803,40.2977,1.47114,-0.00404,-0.00404,-0.00404,-0.00404,-0.00404,-0.00404,-0.00404,-0.00404,-0.00404,-0.00404,-0.00404,-0.00404,-0.00404,1.71608,4.93521,8.58303,15.0578,99.4769,109.829,102.242,10.791,20.0408,1.69055,1.46603,-0.00404,-0.00404,-0.00404,-0.00404,-0.00404,-0.00404,-0.00404,-0.00404,-0.00404,-0.00404,-0.00404,-0.00404,-0.00404,104.33,84.803,179.038,217.079,109.05,286.368,300.732,250.524,300.547,148.01,5.01423,-0.00404,-0.00404,-0.00404,-0.00404,-0.00404,-0.00404,-0.00404,-0.00404,-0.00404,-0.00404,-0.00404,-0.00404,-0.00404,1.70912,29.8014,293.541,465.894,435.418,427.135,482.651,257.808,144.041,25.2971,3.39954,-0.00404,-0.00404,-0.00404,-0.00404,-0.00404,-0.00404,-0.00404,-0.00404,-0.00404,-0.00404,-0.00404,-0.00404,-0.00404,1.88161,31.9636,220.341,200.323,263.064,183.052,158.343,76.3625,5.36174,19.5261,2.80794,-0.00404,-0.00404,-0.00404,-0.00404,-0.00404,-0.00404,-0.00404,-0.00404,-0.00404,-0.00404,-0.00404,-0.00404,-0.00404,1.9069,89.4094,187.735,135.095,61.4853,325.818,164.535,169.181,148.865,71.1972,5.83224,-0.00404,-0.00404,-0.00404,-0.00404,-0.00404,-0.00404,-0.00404,-0.00404,-0.00404,-0.00404,-0.00404,-0.00404,-0.00404,1.24857,110.608,378.604,467.454,495.0,358.234,221.653,243.943,128.333,3.38739,1.05756,-0.00404,-0.00404,-0.00404,-0.00404,-0.00404,-0.00404,-0.00404,-0.00404,-0.00404,-0.00404,-0.00404,-0.00404,-0.00404,2.12833,5.25469,66.6454,68.5005,113.044,269.248,289.861,231.106,149.444,3.43832,2.58373,-0.00404,-0.00404,-0.00404,-0.00404,-0.00404,-0.00404,-0.00404,-0.00404,-0.00404,-0.00404,-0.00404,-0.00404,-0.00404,76.887,98.7113,214.857,450.313,304.366,306.368,256.116,46.2838,33.0749,29.9461,4.52099,-0.00404,-0.00404,-0.00404,-0.00404,-0.00404,-0.00404,-0.00404,-0.00404,-0.00404,-0.00404,-0.00404,-0.00404,-0.00404,154.27,332.601,229.736,275.746,380.742,308.956,355.098,468.949,170.626,82.885,12.6987,-0.00404,-0.00404,-0.00404,-0.00404,-0.00404,-0.00404,-0.00404,-0.00404,-0.00404,-0.00404,-0.00404,-0.00404,-0.00404,163.238,341.506,466.386,495.0,495.0,495.0,495.0,469.436,353.809,198.619,26.8595,-0.00404,-0.00404,-0.00404,-0.00404,-0.00404,-0.00404,-0.00404,-0.00404,-0.00404,-0.00404,-0.00404,-0.00404,-0.00404,166.672,166.47,458.392,495.0,495.0,495.0,438.165,460.397,214.833,188.69,16.1277,-0.00404,-0.00404,-0.00404,-0.00404,-0.00404,-0.00404,-0.00404,-0.00404,-0.00404,-0.00404,-0.00404,-0.00404,-0.00404,16.2524,115.291,332.392,453.554,465.138,486.378,411.233,232.83,125.952,187.449,17.6803,-0.00404,-0.00404,-0.00404,-0.00404,-0.00404,-0.00404,-0.00404,-0.00404,-0.00404,-0.00404,-0.00404,-0.00404,-0.00404,26.5949,165.233,125.21,414.677,446.377,474.514,420.806,266.841,211.375,116.194,7.04092,-0.00404,-0.00404,-0.00404,-0.00404,-0.00404,-0.00404,-0.00404,-0.00404,-0.00404,-0.00404,-0.00404,-0.00404,-0.00404,1.24502,56.1575,163.556,348.735,294.992,235.753,343.871,127.76,66.2519,20.5859,4.24044,-0.00404,-0.00404,-0.00404,-0.00404,-0.00404,-0.00404,-0.00404,-0.00404,-0.00404,-0.00404,-0.00404,-0.00404,-0.00404,1.68952,5.70816,17.1789,84.2247,127.445,224.134,157.529,39.7369,110.885,43.6316,2.43711,-0.00404,-0.00404,-0.00404,-0.00404,-0.00404,-0.00404,-0.00404,-0.00404,-0.00404,-0.00404,-0.00404,-0.00404,0.676075,122.593,204.715,289.282,360.552,343.104,250.228,258.48,232.612,139.659,1.65912,3.91366,-0.00404,-0.00404,-0.00404,-0.00404,-0.00404,-0.00404,-0.00404,-0.00404,-0.00404,-0.00404,-0.00404,-0.00404,-0.00404,1.69815,3.00285,9.74032,34.6499,86.6338,212.21,126.318,159.605,4.79374,5.29283,2.09693,-0.00404,-0.00404,-0.00404,-0.00404,-0.00404,-0.00404,-0.00404,-0.00404,-0.00404,-0.00404,-0.00404,-0.00404,0.71817,3.0605,39.1593,95.9199,161.243,25.9198,330.778,92.8268,132.92,25.0994,17.1496,3.20896,-0.00404,-0.00404,-0.00404,-0.00404,-0.00404,-0.00404,-0.00404,-0.00404,-0.00404,-0.00404,-0.00404,-0.00404,1.3387,3.61196,21.8297,58.7662,183.223,288.567,156.602,420.085,128.449,55.2495,9.00199,8.40982,-0.00404,-0.00404,-0.00404,-0.00404,-0.00404,-0.00404,-0.00404,-0.00404,-0.00404,-0.00404,-0.00404,-0.00404,0.906448,5.80054,39.5019,51.3674,154.328,134.797,164.802,162.155,220.711,146.957,33.9853,9.1506,-0.00404,-0.00404,-0.00404,-0.00404,-0.00404,-0.00404,-0.00404,-0.00404,-0.00404,-0.00404,-0.00404,-0.00404,1.40494,5.78483,129.738,299.277,390.135,334.851,321.015,154.595,324.209,121.298,8.92601,20.6464,-0.00404,-0.00404,-0.00404,-0.00404,-0.00404,-0.00404,-0.00404,-0.00404,-0.00404,-0.00404,-0.00404,-0.00404,1.42177,6.36463,174.37,239.208,148.187,240.886,234.233,262.716,158.993,301.57,175.794,16.7053,-0.00404,-0.00404,-0.00404,-0.00404,-0.00404,-0.00404,-0.00404,-0.00404,-0.00404,-0.00404,-0.00404,-0.00404,2.98122,192.72,288.365,287.474,380.926,293.877,410.296,495.0,147.291,197.442,198.402,37.3029,-0.00404,-0.00404,-0.00404,-0.00404,-0.00404,-0.00404,-0.00404,-0.00404,-0.00404,-0.00404,-0.00404,-0.00404,2.11003,113.998,247.764,311.851,438.559,495.0,392.994,285.401,145.346,75.8287,9.57064,6.22595,-0.00404,-0.00404,-0.00404,-0.00404,-0.00404,-0.00404,-0.00404,-0.00404,-0.00404,-0.00404,-0.00404,-0.00404,1.22677,196.666,204.025,388.579,370.58,495.0,492.143,442.983,311.569,197.794,116.913,11.1577,-0.00404,-0.00404,-0.00404,-0.00404,-0.00404,-0.00404,-0.00404,-0.00404,-0.00404,-0.00404,-0.00404,-0.00404,6.58976,5.3596,217.311,288.423,245.909,126.289,248.101,163.707,166.949,173.669,116.001,15.3646,-0.00404,-0.00404,-0.00404,-0.00404,-0.00404,-0.00404,-0.00404,-0.00404,-0.00404,-0.00404,-0.00404,-0.00404,7.52232,202.409,358.92,480.033,495.0,495.0,495.0,495.0,467.267,350.178,196.348,38.6698,-0.00404,-0.00404,-0.00404,-0.00404,-0.00404,-0.00404,-0.00404,-0.00404,-0.00404,-0.00404,-0.00404,-0.00404,8.11153,194.686,352.539,471.91,495.0,495.0,495.0,495.0,457.48,343.434,189.94,38.4241,-0.00404,-0.00404,-0.00404,-0.00404,-0.00404,-0.00404,-0.00404,-0.00404,-0.00404,-0.00404,-0.00404,-0.00404,9.99415,204.245,360.251,475.896,495.0,495.0,495.0,495.0,456.621,342.002,191.481,38.3038,-0.00404,-0.00404,-0.00404,-0.00404,-0.00404,-0.00404,-0.00404,-0.00404,-0.00404,-0.00404,-0.00404,-0.00404,10.7977,199.367,344.587,451.125,495.0,495.0,495.0,495.0,448.023,253.923,115.971,35.0723,-0.00404,-0.00404,-0.00404,-0.00404,-0.00404,-0.00404,-0.00404,-0.00404,-0.00404,-0.00404,-0.00404,-0.00404,10.3318,187.51,336.997,447.324,495.0,495.0,430.047,342.807,308.524,325.56,126.843,7.18674,-0.00404,-0.00404,-0.00404,-0.00404,-0.00404,-0.00404,-0.00404,-0.00404,-0.00404,-0.00404,-0.00404,-0.00404,1.23036,66.8225,172.44,267.486,216.41,264.327,269.453,158.644,158.096,204.242,106.363,7.35961,-0.00404,-0.00404,-0.00404,-0.00404,-0.00404,-0.00404,-0.00404,-0.00404,-0.00404,-0.00404,-0.00404,-0.00404,12.5377,211.101,364.663,321.832,495.0,495.0,495.0,495.0,462.687,347.091,193.826,39.9924,-0.00404,-0.00404,-0.00404,-0.00404,-0.00404,-0.00404,-0.00404,-0.00404,-0.00404,-0.00404,-0.00404,-0.00404,47.7954,212.389,361.914,475.895,495.0,495.0,495.0,495.0,453.907,340.292,190.374,39.2577,-0.00404,-0.00404,-0.00404,-0.00404,-0.00404,-0.00404,-0.00404,-0.00404,-0.00404,-0.00404,-0.00404,-0.00404,45.4889,197.851,337.09,441.851,495.0,495.0,413.623,107.157,117.59,193.392,111.064,5.92009,-0.00404,-0.00404,-0.00404,-0.00404,-0.00404,-0.00404,-0.00404,-0.00404,-0.00404,-0.00404,-0.00404,-0.00404,1.24626,68.2434,169.167,255.883,55.9843,116.29,254.125,277.997,298.657,243.794,116.352,8.21914,-0.00404,-0.00404,-0.00404,-0.00404,-0.00404,-0.00404,-0.00404,-0.00404,-0.00404,-0.00404,-0.00404,-0.00404,25.9298,114.361,172.172,361.951,341.706,424.199,282.484,282.646,319.752,240.904,67.9017,2.42709,-0.00404,-0.00404,-0.00404,-0.00404,-0.00404,-0.00404,-0.00404,-0.00404,-0.00404,-0.00404,-0.00404,-0.00404,39.9511,180.145,332.412,450.476,495.0,373.928,495.0,495.0,447.816,332.449,182.263,42.0646,-0.00404,-0.00404,-0.00404,-0.00404,-0.00404,-0.00404,-0.00404,-0.00404,-0.00404,-0.00404,-0.00404,-0.00404,19.4635,92.8481,213.795,121.887,141.82,156.527,212.215,141.818,120.355,54.765,7.93149,1.61915,-0.00404,-0.00404,-0.00404,-0.00404,-0.00404,-0.00404,-0.00404,-0.00404,-0.00404,-0.00404,-0.00404,-0.00404,1.6906,47.8042,56.1114,145.334,291.381,199.285,107.417,134.505,127.344,122.529,85.4232,9.25583,-0.00404,-0.00404,-0.00404,-0.00404,-0.00404,-0.00404,-0.00404,-0.00404,-0.00404,-0.00404,-0.00404,-0.00404,44.9874,180.562,324.894,437.234,495.0,495.0,495.0,493.929,419.123,308.597,149.721,44.6593,-0.00404,-0.00404,-0.00404,-0.00404,-0.00404,-0.00404,-0.00404,-0.00404,-0.00404,-0.00404,-0.00404,-0.00404,36.7356,123.222,327.66,438.536,495.0,495.0,495.0,472.242,422.423,301.447,142.642,41.5337,-0.00404,-0.00404,-0.00404,-0.00404,-0.00404,-0.00404,-0.00404,-0.00404,-0.00404,-0.00404,-0.00404,-0.00404,29.4588,101.862,305.828,417.218,495.0,417.663,403.036,333.715,202.879,48.8891,32.1278,40.586,-0.00404,-0.00404,-0.00404,-0.00404,-0.00404,-0.00404,-0.00404,-0.00404,-0.00404,-0.00404,-0.00404,-0.00404,1.24509,95.8111,204.943,125.069,185.948,186.55,112.739,408.1,87.3322,238.534,92.566,1.64725,-0.00404,-0.00404,-0.00404,-0.00404,-0.00404,-0.00404,-0.00404,-0.00404,-0.00404,-0.00404,-0.00404,-0.00404,1.27997,41.6643,163.022,284.638,386.976,469.134,427.989,251.873,256.946,195.501,142.102,2.53704,-0.00404,-0.00404,-0.00404,-0.00404,-0.00404,-0.00404,-0.00404,-0.00404,-0.00404,-0.00404,-0.00404,-0.00404,2.17526,10.0829,60.4988,98.4058,187.963,383.524,495.0,495.0,289.104,187.116,183.604,44.31,-0.00404,-0.00404,-0.00404,-0.00404,-0.00404,-0.00404,-0.00404,-0.00404,-0.00404,-0.00404,-0.00404,-0.00404,6.33405,99.9122,192.508,256.21,343.685,379.378,398.12,375.102,311.256,263.124,140.777,29.3252,-0.00404,-0.00404,-0.00404,-0.00404,-0.00404,-0.00404,-0.00404,-0.00404,-0.00404,-0.00404,-0.00404,-0.00404,67.2874,223.994,368.159,476.173,495.0,495.0,495.0,495.0,449.786,336.096,185.533,40.305,-0.00404,-0.00404,-0.00404,-0.00404,-0.00404,-0.00404,-0.00404,-0.00404,-0.00404,-0.00404,-0.00404,-0.00404,32.1557,184.112,276.245,464.162,495.0,495.0,465.602,495.0,434.133,324.298,177.864,41.398,-0.00404,-0.00404,-0.00404,-0.00404,-0.00404,-0.00404,-0.00404,-0.00404,-0.00404,-0.00404,-0.00404,-0.00404,65.7309,212.496,347.561,451.881,495.0,495.0,413.377,428.548,334.482,25.4023,10.2203,1.64372,-0.00404,-0.00404,-0.00404,-0.00404,-0.00404,-0.00404,-0.00404,-0.00404,-0.00404,-0.00404,-0.00404,-0.00404,1.72477,74.5127,38.9193,114.089,109.304,66.9652,202.596,182.006,219.313,258.627,4.85912,1.68301,-0.00404,-0.00404,-0.00404,-0.00404,-0.00404,-0.00404,-0.00404,-0.00404,-0.00404,-0.00404,-0.00404,-0.00404,15.8178,81.8154,30.4692,214.0,206.523,127.987,120.824,152.685,134.447,40.3129,69.6776,11.2793,-0.00404,-0.00404,-0.00404,-0.00404,-0.00404,-0.00404,-0.00404,-0.00404,-0.00404,-0.00404,-0.00404,-0.00404,20.3699,46.2404,102.582,146.881,107.102,162.964,237.085,221.845,145.436,88.9615,56.6167,13.1873,-0.00404,-0.00404,-0.00404,-0.00404,-0.00404,-0.00404,-0.00404,-0.00404,-0.00404,-0.00404,-0.00404,0.683066,2.63169,28.9238,73.5965,97.8026,129.352,157.307,166.341,248.558,100.895,74.6585,40.7339,15.0794,2.97817,-0.00404,-0.00404,-0.00404,-0.00404,-0.00404,-0.00404,-0.00404,-0.00404,-0.00404,-0.00404,4.18249,73.1048,222.846,359.897,460.935,495.0,299.917,276.992,182.191,295.39,129.521,49.2795,39.9373,6.87228,-0.00404,-0.00404,-0.00404,-0.00404,-0.00404,-0.00404,-0.00404,-0.00404,-0.00404,-0.00404,1.44004,9.12187,169.689,193.254,461.138,482.758,495.0,395.568,205.545,207.95,209.896,16.7838,56.9745,1.81233,-0.00404,-0.00404,-0.00404,-0.00404,-0.00404,-0.00404,-0.00404,-0.00404,-0.00404,-0.00404,1.504,32.594,137.093,268.982,452.75,300.089,273.153,150.738,77.7353,221.651,203.419,154.64,38.4819,2.20615,-0.00404,-0.00404,-0.00404,-0.00404,-0.00404,-0.00404,-0.00404,-0.00404,-0.00404,-0.00404,3.16826,67.0157,112.472,212.143,334.167,331.572,425.665,239.914,400.973,270.473,189.241,149.71,9.36366,1.439,-0.00404,-0.00404,-0.00404,-0.00404,-0.00404,-0.00404,-0.00404,-0.00404,-0.00404,-0.00404,7.15651,77.9296,230.071,364.668,463.782,495.0,495.0,495.0,495.0,435.586,326.349,178.587,40.5287,7.51666,-0.00404,-0.00404,-0.00404,-0.00404,-0.00404,-0.00404,-0.00404,-0.00404,-0.00404,-0.00404,8.10736,79.1417,232.607,363.135,465.455,495.0,495.0,495.0,495.0,434.207,325.339,177.339,39.9067,8.1689,-0.00404,-0.00404,-0.00404,-0.00404,-0.00404,-0.00404,-0.00404,-0.00404,-0.00404,-0.00404,8.80988,79.6251,232.487,362.718,460.513,495.0,495.0,495.0,490.944,416.013,312.454,172.341,40.5539,8.48037,-0.00404,-0.00404,-0.00404,-0.00404,-0.00404,-0.00404,-0.00404,-0.00404,-0.00404,-0.00404,9.19672,78.6895,227.505,354.415,448.521,495.0,495.0,495.0,485.631,411.557,308.054,170.181,40.1049,8.77017,-0.00404,-0.00404,-0.00404,-0.00404,-0.00404,-0.00404,-0.00404,-0.00404,-0.00404,-0.00404,9.85693,79.6818,228.091,356.762,454.193,495.0,495.0,495.0,494.007,418.757,312.122,170.859,39.0022,9.19272,-0.00404,-0.00404,-0.00404,-0.00404,-0.00404,-0.00404,-0.00404,-0.00404,-0.00404,-0.00404,10.0559,80.3182,228.04,354.914,451.665,495.0,495.0,495.0,489.206,411.314,307.07,167.332,39.368,9.83024,-0.00404,-0.00404,-0.00404,-0.00404,-0.00404,-0.00404,-0.00404,-0.00404,-0.00404,-0.00404,10.9303,78.7958,223.09,346.127,431.835,489.253,495.0,495.0,467.771,397.964,298.049,150.33,49.7669,8.87861,-0.00404,-0.00404,-0.00404,-0.00404,-0.00404,-0.00404,-0.00404,-0.00404,-0.00404,-0.00404,11.4048,79.0696,221.954,350.502,445.278,495.0,495.0,495.0,487.615,407.962,304.407,165.433,42.8899,11.1711,-0.00404,-0.00404,-0.00404,-0.00404,-0.00404,-0.00404,-0.00404,-0.00404,-0.00404,-0.00404,10.032,47.7426,194.385,328.055,338.486,431.873,428.88,452.018,495.0,425.159,315.17,139.16,50.7805,14.6648,-0.00404,-0.00404,-0.00404,-0.00404,-0.00404,-0.00404,-0.00404,-0.00404,-0.00404,-0.00404,8.65863,1.66013,16.1594,137.723,117.74,140.306,104.057,276.185,12.927,283.319,303.485,158.595,3.39103,4.47633,-0.00404,-0.00404,-0.00404,-0.00404,-0.00404,-0.00404,-0.00404,-0.00404,-0.00404,-0.00404,5.61618,83.8927,147.379,257.661,256.327,455.911,365.228,451.734,338.672,300.704,202.363,90.5208,47.2297,8.38876,-0.00404,-0.00404,-0.00404,-0.00404,-0.00404,-0.00404,-0.00404,-0.00404,-0.00404,-0.00404,6.96563,83.2273,213.857,292.561,454.248,461.719,491.539,474.535,491.131,314.305,258.329,139.699,62.5735,2.87497,-0.00404,-0.00404,-0.00404,-0.00404,-0.00404,-0.00404,-0.00404,-0.00404,-0.00404,-0.00404,9.61898,2.0879,102.337,225.462,137.889,217.04,346.961,444.734,396.841,133.821,160.799,128.818,4.17848,4.73592,-0.00404,-0.00404,-0.00404,-0.00404,-0.00404,-0.00404,-0.00404,-0.00404,-0.00404,-0.00404,11.0314,81.5673,211.74,335.311,432.272,495.0,395.363,486.269,442.537,340.194,246.567,147.382,59.3911,6.99415,-0.00404,-0.00404,-0.00404,-0.00404,-0.00404,-0.00404,-0.00404,-0.00404,-0.00404,-0.00404,16.5221,83.2993,207.329,249.31,298.202,104.722,330.602,408.167,371.746,51.6136,206.779,69.077,53.7856,16.1179,-0.00404,-0.00404,-0.00404,-0.00404,-0.00404,-0.00404,-0.00404,-0.00404,-0.00404,-0.00404,1.24411,2.1698,53.3364,34.2549,29.5458,28.3883,186.872,254.505,321.096,275.088,154.04,17.9566,26.3075,1.73333,-0.00404,-0.00404,-0.00404,-0.00404,-0.00404,-0.00404,-0.00404,-0.00404,-0.00404,-0.00404,10.8501,23.0555,125.911,166.668,94.0453,310.076,173.902,299.053,328.821,267.107,216.156,38.6474,50.179,19.4165,-0.00404,-0.00404,-0.00404,-0.00404,-0.00404,-0.00404,-0.00404,-0.00404,-0.00404,-0.00404,1.22858,50.1848,98.6198,254.652,193.512,250.641,404.402,54.1529,70.5584,124.522,68.1032,23.7372,3.84372,2.41296,-0.00404,-0.00404,-0.00404,-0.00404,-0.00404,-0.00404,-0.00404,-0.00404,-0.00404,-0.00404,1.22065,40.1207,163.065,213.022,436.311,423.89,408.597,347.667,99.3408,104.411,94.9665,93.9992,39.3389,3.16449,-0.00404,-0.00404,-0.00404,-0.00404,-0.00404,-0.00404,-0.00404,-0.00404,-0.00404,-0.00404,18.3034,77.4244,176.664,357.043,450.42,495.0,495.0,495.0,485.424,410.652,308.967,169.948,42.6317,21.2899,-0.00404,-0.00404,-0.00404,-0.00404,-0.00404,-0.00404,-0.00404,-0.00404,-0.00404,-0.00404,17.2745,87.8209,233.822,358.85,451.332,495.0,492.156,495.0,477.568,403.891,302.53,166.86,51.2141,21.2743,-0.00404,-0.00404,-0.00404,-0.00404,-0.00404,-0.00404,-0.00404,-0.00404,-0.00404,-0.00404,8.36771,88.7936,203.981,293.96,363.907,433.812,472.417,461.893,410.421,397.669,297.289,162.542,39.4479,19.0149,-0.00404,-0.00404,-0.00404,-0.00404,-0.00404,-0.00404,-0.00404,-0.00404,-0.00404,-0.00404,16.4922,85.7412,227.623,323.742,410.675,495.0,495.0,495.0,472.208,396.576,294.654,161.773,49.0785,20.2044,-0.00404,-0.00404,-0.00404,-0.00404,-0.00404,-0.00404,-0.00404,-0.00404,-0.00404,-0.00404,21.2271,86.3643,150.516,212.134,231.833,332.423,472.556,439.809,362.658,381.394,283.974,142.087,47.2663,21.6107,-0.00404,-0.00404,-0.00404,-0.00404,-0.00404,-0.00404,-0.00404,-0.00404,-0.00404,-0.00404,21.2782,89.3184,152.97,329.062,364.251,475.422,495.0,493.291,307.586,282.653,284.142,63.072,1.97388,21.2461,-0.00404,-0.00404,-0.00404,-0.00404,-0.00404,-0.00404,-0.00404,-0.00404,-0.00404,-0.00404,14.7032,83.5288,164.873,277.939,341.508,344.526,453.623,374.955,419.278,398.416,233.323,46.4146,52.8723,7.34745,-0.00404,-0.00404,-0.00404,-0.00404,-0.00404,-0.00404,-0.00404,-0.00404,-0.00404,-0.00404,2.51116,2.08414,105.811,246.724,269.311,416.789,386.225,337.803,232.017,87.2661,294.462,166.328,51.7194,24.9962,-0.00404,-0.00404,-0.00404,-0.00404,-0.00404,-0.00404,-0.00404,-0.00404,-0.00404,-0.00404,27.7025,37.9701,133.284,249.616,368.769,444.614,454.986,457.897,402.574,283.289,191.643,142.334,43.5902,2.95422,-0.00404,-0.00404,-0.00404,-0.00404,-0.00404,-0.00404,-0.00404,-0.00404,-0.00404,-0.00404,24.1273,60.3352,99.9251,208.724,235.794,277.242,185.877,325.338,451.711,306.236,289.229,76.7768,43.1828,11.4925,-0.00404,-0.00404,-0.00404,-0.00404,-0.00404,-0.00404,-0.00404,-0.00404,-0.00404,-0.00404,21.9823,89.7478,203.109,272.024,414.023,446.02,390.306,249.179,340.944,282.745,7.44564,46.447,57.3104,10.4654,-0.00404,-0.00404,-0.00404,-0.00404,-0.00404,-0.00404,-0.00404,-0.00404,-0.00404,-0.00404,2.06842,14.4016,160.981,216.778,313.923,343.332,351.32,347.815,108.168,97.8169,43.6326,104.759,9.5324,9.72585,-0.00404,-0.00404,-0.00404,-0.00404,-0.00404,-0.00404,-0.00404,-0.00404,-0.00404,-0.00404,18.4386,5.54872,3.71335,246.963,334.558,463.151,396.575,351.09,118.938,317.898,234.076,136.048,73.9314,27.6612,-0.00404,-0.00404,-0.00404,-0.00404,-0.00404,-0.00404,-0.00404,-0.00404,-0.00404,-0.00404,23.2502,90.2357,184.45,342.331,324.81,344.758,109.222,417.595,404.889,165.989,230.898,153.746,45.4097,25.487,-0.00404,-0.00404,-0.00404,-0.00404,-0.00404,-0.00404,-0.00404,-0.00404,-0.00404,-0.00404,21.7748,86.2273,223.899,343.806,433.57,493.24,495.0,495.0,365.509,301.514,298.233,165.374,47.2382,29.6753,-0.00404,-0.00404,-0.00404,-0.00404,-0.00404,-0.00404,-0.00404,-0.00404,-0.00404,-0.00404,19.6245,91.5831,187.551,335.796,398.4,425.313,385.25,487.688,446.477,378.344,286.508,161.985,48.5983,28.8465,-0.00404,-0.00404,-0.00404,-0.00404,-0.00404,-0.00404,-0.00404,-0.00404,-0.00404,-0.00404,23.132,84.7037,198.432,319.494,402.146,453.08,479.921,475.492,442.446,371.204,276.455,158.56,61.7794,26.9151,-0.00404,-0.00404,-0.00404,-0.00404,-0.00404,-0.00404,-0.00404,-0.00404,-0.00404,-0.00404,25.2576,94.0587,189.669,296.981,388.55,452.212,491.096,485.362,348.463,307.077,279.68,155.881,59.4835,29.5162,-0.00404,-0.00404,-0.00404,-0.00404,-0.00404,-0.00404,-0.00404,-0.00404,-0.00404,-0.00404,25.6663,50.0054,193.192,291.481,402.575,395.719,492.833,486.341,375.487,340.446,208.546,147.508,69.976,2.7018,-0.00404,-0.00404,-0.00404,-0.00404,-0.00404,-0.00404,-0.00404,-0.00404,-0.00404,-0.00404,1.18875,42.3149,175.358,286.893,360.213,326.996,335.107,167.13,128.797,310.025,239.826,140.624,56.9511,1.49183,-0.00404,-0.00404,-0.00404,-0.00404,-0.00404,-0.00404,-0.00404,-0.00404,-0.00404,-0.00404,26.1953,94.9111,176.878,282.643,349.487,478.297,349.689,31.1025,282.418,335.129,215.726,134.044,54.7299,32.1238,-0.00404,-0.00404,-0.00404,-0.00404,-0.00404,-0.00404,-0.00404,-0.00404,-0.00404,-0.00404,24.0723,88.6716,175.775,291.006,409.009,466.67,491.959,346.464,175.213,292.3,180.896,156.079,70.5943,8.30958,-0.00404,-0.00404,-0.00404,-0.00404,-0.00404,-0.00404,-0.00404,-0.00404,-0.00404,-0.00404,33.0341,89.9036,196.873,322.275,386.59,384.785,357.839,367.581,349.897,322.755,256.882,162.623,49.0065,30.6482,-0.00404,-0.00404,-0.00404,-0.00404,-0.00404,-0.00404,-0.00404,-0.00404,-0.00404,-0.00404,24.036,85.9075,67.6808,86.5088,131.491,87.4366,454.354,415.619,133.253,184.367,200.983,139.314,72.0514,15.9935,-0.00404,-0.00404,-0.00404,-0.00404,-0.00404,-0.00404,-0.00404,-0.00404,-0.00404,-0.00404,23.5303,82.5851,207.032,321.098,379.929,405.004,371.901,414.599,381.615,179.156,71.219,4.92954,15.3642,1.13996,-0.00404,-0.00404,-0.00404,-0.00404,-0.00404,-0.00404,-0.00404,-0.00404,-0.00404,-0.00404,1.20717,33.3342,33.6655,147.131,242.171,339.319,293.493,322.087,245.055,285.322,224.57,142.361,72.7898,7.0595,-0.00404,-0.00404,-0.00404,-0.00404,-0.00404,-0.00404,-0.00404,-0.00404,-0.00404,-0.00404,22.7389,80.9548,212.983,328.778,414.243,472.693,495.0,493.05,453.764,384.868,291.605,164.232,49.8335,31.5626,-0.00404,-0.00404,-0.00404,-0.00404,-0.00404,-0.00404,-0.00404,-0.00404,-0.00404,-0.00404,23.5197,80.7315,200.826,310.794,345.801,396.144,402.435,387.428,358.516,280.054,233.932,136.562,40.8924,19.3485,-0.00404,-0.00404,-0.00404,-0.00404,-0.00404,-0.00404,-0.00404,-0.00404,-0.00404,-0.00404,1.19662,92.4102,85.913,207.288,103.737,405.309,480.786,477.635,396.18,383.453,218.293,144.832,70.7679,33.8849,-0.00404,-0.00404,-0.00404,-0.00404,-0.00404,-0.00404,-0.00404,-0.00404,-0.00404,-0.00404,23.4682,91.0311,192.375,271.158,265.862,92.4624,495.0,409.04,377.984,295.949,244.275,169.025,52.2268,32.9135,-0.00404,-0.00404,-0.00404,-0.00404,-0.00404,-0.00404,-0.00404,-0.00404,-0.00404,-0.00404,30.9447,90.381,208.85,323.061,310.082,358.713,214.438,387.902,317.752,122.864,133.834,143.093,80.388,8.3799,-0.00404,-0.00404,-0.00404,-0.00404,-0.00404,-0.00404,-0.00404,-0.00404,-0.00404,-0.00404,24.7369,80.9428,206.157,322.488,288.309,319.195,334.498,308.175,338.986,344.981,251.29,158.819,77.3948,34.6252,-0.00404,-0.00404,-0.00404,-0.00404,</t>
  </si>
  <si>
    <t>-0.00808,-0.00808,-0.00808,-0.00808,-0.00808,-0.00808,-0.00808,-0.00808,101.175,744.839,956.855,990.0,990.0,754.875,170.926,437.219,58.7736,-0.00808,-0.00808,-0.00808,-0.00808,-0.00808,-0.00808,-0.00808,-0.00808,-0.00808,-0.00808,-0.00808,-0.00808,-0.00808,-0.00808,-0.00808,99.8985,199.525,947.238,31.5188,551.614,121.51,191.464,202.877,4.13435,-0.00808,-0.00808,-0.00808,-0.00808,-0.00808,-0.00808,-0.00808,-0.00808,-0.00808,-0.00808,-0.00808,-0.00808,-0.00808,-0.00808,-0.00808,7.2403,187.356,134.237,990.0,563.108,990.0,346.192,124.986,3.26763,-0.00808,-0.00808,-0.00808,-0.00808,-0.00808,-0.00808,-0.00808,-0.00808,-0.00808,-0.00808,-0.00808,-0.00808,-0.00808,-0.00808,-0.00808,482.297,789.929,990.0,990.0,990.0,990.0,815.087,518.432,104.986,-0.00808,-0.00808,-0.00808,-0.00808,-0.00808,-0.00808,-0.00808,-0.00808,-0.00808,-0.00808,-0.00808,-0.00808,-0.00808,-0.00808,-0.00808,6.33597,117.26,35.6025,43.4613,46.8824,30.8618,23.0255,6.20875,8.58766,-0.00808,-0.00808,-0.00808,-0.00808,-0.00808,-0.00808,-0.00808,-0.00808,-0.00808,-0.00808,-0.00808,-0.00808,-0.00808,-0.00808,-0.00808,25.1696,87.1064,144.205,218.263,579.345,184.846,106.099,50.6597,7.90749,-0.00808,-0.00808,-0.00808,-0.00808,-0.00808,-0.00808,-0.00808,-0.00808,-0.00808,-0.00808,-0.00808,-0.00808,-0.00808,-0.00808,-0.00808,127.864,859.066,990.0,428.768,473.862,990.0,170.946,64.1767,27.9586,-0.00808,-0.00808,-0.00808,-0.00808,-0.00808,-0.00808,-0.00808,-0.00808,-0.00808,-0.00808,-0.00808,-0.00808,-0.00808,-0.00808,-0.00808,38.8537,156.885,547.343,223.256,584.389,192.99,256.24,59.7896,16.3735,-0.00808,-0.00808,-0.00808,-0.00808,-0.00808,-0.00808,-0.00808,-0.00808,-0.00808,-0.00808,-0.00808,-0.00808,-0.00808,-0.00808,-0.00808,547.368,895.226,990.0,990.0,990.0,990.0,937.021,602.365,148.026,-0.00808,-0.00808,-0.00808,-0.00808,-0.00808,-0.00808,-0.00808,-0.00808,-0.00808,-0.00808,-0.00808,-0.00808,-0.00808,-0.00808,-0.00808,29.0793,62.7528,495.371,537.78,328.883,990.0,330.333,571.607,16.0525,-0.00808,-0.00808,-0.00808,-0.00808,-0.00808,-0.00808,-0.00808,-0.00808,-0.00808,-0.00808,-0.00808,-0.00808,-0.00808,-0.00808,-0.00808,20.478,836.003,252.467,258.895,164.459,238.223,355.658,272.685,4.95337,-0.00808,-0.00808,-0.00808,-0.00808,-0.00808,-0.00808,-0.00808,-0.00808,-0.00808,-0.00808,-0.00808,-0.00808,-0.00808,-0.00808,-0.00808,19.2335,157.036,713.938,622.071,148.94,157.031,76.356,35.8395,13.7342,-0.00808,-0.00808,-0.00808,-0.00808,-0.00808,-0.00808,-0.00808,-0.00808,-0.00808,-0.00808,-0.00808,-0.00808,-0.00808,-0.00808,-0.00808,25.0595,146.99,28.1452,34.7145,350.605,168.153,84.6665,45.1904,6.70562,-0.00808,-0.00808,-0.00808,-0.00808,-0.00808,-0.00808,-0.00808,-0.00808,-0.00808,-0.00808,-0.00808,-0.00808,-0.00808,-0.00808,-0.00808,20.5342,242.727,526.263,89.358,83.4696,215.842,148.469,47.528,4.13061,-0.00808,-0.00808,-0.00808,-0.00808,-0.00808,-0.00808,-0.00808,-0.00808,-0.00808,-0.00808,-0.00808,-0.00808,-0.00808,-0.00808,-0.00808,57.1681,74.1575,157.371,187.689,156.382,109.054,99.283,51.0594,4.0854,-0.00808,-0.00808,-0.00808,-0.00808,-0.00808,-0.00808,-0.00808,-0.00808,-0.00808,-0.00808,-0.00808,-0.00808,-0.00808,-0.00808,-0.00808,29.9946,96.4132,185.594,247.924,278.492,848.893,929.724,640.02,179.933,-0.00808,-0.00808,-0.00808,-0.00808,-0.00808,-0.00808,-0.00808,-0.00808,-0.00808,-0.00808,-0.00808,-0.00808,-0.00808,-0.00808,-0.00808,11.1403,100.035,191.558,183.388,392.14,274.936,906.555,613.675,23.4073,-0.00808,-0.00808,-0.00808,-0.00808,-0.00808,-0.00808,-0.00808,-0.00808,-0.00808,-0.00808,-0.00808,-0.00808,-0.00808,-0.00808,-0.00808,11.0566,903.461,990.0,990.0,990.0,990.0,914.644,626.48,8.95567,-0.00808,-0.00808,-0.00808,-0.00808,-0.00808,-0.00808,-0.00808,-0.00808,-0.00808,-0.00808,-0.00808,-0.00808,-0.00808,-0.00808,-0.00808,9.66407,20.8475,92.4846,332.582,336.417,180.498,264.757,603.938,27.768,-0.00808,-0.00808,-0.00808,-0.00808,-0.00808,-0.00808,-0.00808,-0.00808,-0.00808,-0.00808,-0.00808,-0.00808,-0.00808,-0.00808,-0.00808,8.37549,158.611,393.364,990.0,990.0,990.0,873.366,172.709,37.0003,-0.00808,-0.00808,-0.00808,-0.00808,-0.00808,-0.00808,-0.00808,-0.00808,-0.00808,-0.00808,-0.00808,-0.00808,-0.00808,-0.00808,-0.00808,6.14341,51.9624,158.293,173.337,188.59,186.288,142.332,88.0337,31.3672,-0.00808,-0.00808,-0.00808,-0.00808,-0.00808,-0.00808,-0.00808,-0.00808,-0.00808,-0.00808,-0.00808,-0.00808,-0.00808,-0.00808,4.18533,97.6081,236.785,302.029,315.62,328.921,282.701,179.007,94.928,26.2843,-0.00808,-0.00808,-0.00808,-0.00808,-0.00808,-0.00808,-0.00808,-0.00808,-0.00808,-0.00808,-0.00808,-0.00808,-0.00808,-0.00808,3.30083,62.8469,155.747,204.817,288.381,783.58,398.187,141.916,96.9752,42.0552,-0.00808,-0.00808,-0.00808,-0.00808,-0.00808,-0.00808,-0.00808,-0.00808,-0.00808,-0.00808,-0.00808,-0.00808,-0.00808,-0.00808,5.89063,86.624,169.696,242.516,332.344,401.805,280.162,153.042,85.833,29.1746,-0.00808,-0.00808,-0.00808,-0.00808,-0.00808,-0.00808,-0.00808,-0.00808,-0.00808,-0.00808,-0.00808,-0.00808,-0.00808,-0.00808,4.64882,52.5133,108.751,140.089,273.769,174.898,94.8905,57.4384,34.4628,13.7186,-0.00808,-0.00808,-0.00808,-0.00808,-0.00808,-0.00808,-0.00808,-0.00808,-0.00808,-0.00808,-0.00808,-0.00808,-0.00808,-0.00808,3.08724,41.0395,89.5901,178.575,258.342,250.858,150.218,67.7391,33.2083,12.131,-0.00808,-0.00808,-0.00808,-0.00808,-0.00808,-0.00808,-0.00808,-0.00808,-0.00808,-0.00808,-0.00808,-0.00808,-0.00808,-0.00808,4.00009,24.1671,46.1642,86.3173,140.796,123.394,88.9822,50.9031,21.8525,8.74893,-0.00808,-0.00808,-0.00808,-0.00808,-0.00808,-0.00808,-0.00808,-0.00808,-0.00808,-0.00808,-0.00808,-0.00808,-0.00808,-0.00808,8.5004,158.077,443.626,361.706,344.262,523.01,689.371,887.4,627.764,254.556,-0.00808,-0.00808,-0.00808,-0.00808,-0.00808,-0.00808,-0.00808,-0.00808,-0.00808,-0.00808,-0.00808,-0.00808,-0.00808,-0.00808,25.6917,361.985,664.697,884.77,990.0,990.0,990.0,899.15,497.598,94.1892,-0.00808,-0.00808,-0.00808,-0.00808,-0.00808,-0.00808,-0.00808,-0.00808,-0.00808,-0.00808,-0.00808,-0.00808,-0.00808,-0.00808,7.81003,30.4294,28.0241,35.8768,44.848,42.6186,46.839,46.1978,37.2446,17.557,-0.00808,-0.00808,-0.00808,-0.00808,-0.00808,-0.00808,-0.00808,-0.00808,-0.00808,-0.00808,-0.00808,-0.00808,-0.00808,-0.00808,5.19401,31.519,57.6792,75.9426,51.0647,40.5321,47.8981,50.4195,37.2281,18.6102,-0.00808,-0.00808,-0.00808,-0.00808,-0.00808,-0.00808,-0.00808,-0.00808,-0.00808,-0.00808,-0.00808,-0.00808,-0.00808,-0.00808,4.33826,30.5114,63.2553,82.9188,85.5646,82.1909,81.3533,58.3854,43.9603,16.9649,-0.00808,-0.00808,-0.00808,-0.00808,-0.00808,-0.00808,-0.00808,-0.00808,-0.00808,-0.00808,-0.00808,-0.00808,-0.00808,-0.00808,14.8501,278.33,868.355,990.0,990.0,990.0,990.0,915.167,575.3,187.984,-0.00808,-0.00808,-0.00808,-0.00808,-0.00808,-0.00808,-0.00808,-0.00808,-0.00808,-0.00808,-0.00808,-0.00808,-0.00808,-0.00808,147.058,563.003,850.865,990.0,990.0,990.0,990.0,892.224,641.597,293.313,-0.00808,-0.00808,-0.00808,-0.00808,-0.00808,-0.00808,-0.00808,-0.00808,-0.00808,-0.00808,-0.00808,-0.00808,-0.00808,-0.00808,62.0615,470.635,772.894,948.598,697.83,990.0,677.93,900.954,652.005,294.987,-0.00808,-0.00808,-0.00808,-0.00808,-0.00808,-0.00808,-0.00808,-0.00808,-0.00808,-0.00808,-0.00808,-0.00808,-0.00808,-0.00808,2.60736,569.726,862.713,990.0,990.0,990.0,990.0,906.945,655.731,304.467,-0.00808,-0.00808,-0.00808,-0.00808,-0.00808,-0.00808,-0.00808,-0.00808,-0.00808,-0.00808,-0.00808,-0.00808,-0.00808,-0.00808,2.62241,13.6624,67.5953,228.599,18.0422,31.9285,45.19,201.402,296.544,13.0123,-0.00808,-0.00808,-0.00808,-0.00808,-0.00808,-0.00808,-0.00808,-0.00808,-0.00808,-0.00808,-0.00808,-0.00808,-0.00808,-0.00808,2.6417,8.6783,17.6381,38.9074,31.4337,63.3205,362.579,226.629,13.4905,5.42882,-0.00808,-0.00808,-0.00808,-0.00808,-0.00808,-0.00808,-0.00808,-0.00808,-0.00808,-0.00808,-0.00808,-0.00808,-0.00808,-0.00808,2.63712,8.63792,180.917,94.9147,33.4852,250.616,218.088,256.836,63.7101,3.56816,-0.00808,-0.00808,-0.00808,-0.00808,-0.00808,-0.00808,-0.00808,-0.00808,-0.00808,-0.00808,-0.00808,-0.00808,-0.00808,-0.00808,3.60433,6.70305,130.018,60.0455,363.446,235.366,329.23,223.827,74.8201,21.3233,-0.00808,-0.00808,-0.00808,-0.00808,-0.00808,-0.00808,-0.00808,-0.00808,-0.00808,-0.00808,-0.00808,-0.00808,-0.00808,-0.00808,3.62245,8.70601,18.6881,69.3637,153.028,240.392,173.629,139.496,389.081,27.4625,-0.00808,-0.00808,-0.00808,-0.00808,-0.00808,-0.00808,-0.00808,-0.00808,-0.00808,-0.00808,-0.00808,-0.00808,-0.00808,-0.00808,8.48985,598.079,431.694,913.925,751.396,990.0,720.02,516.25,321.335,36.273,-0.00808,-0.00808,-0.00808,-0.00808,-0.00808,-0.00808,-0.00808,-0.00808,-0.00808,-0.00808,-0.00808,-0.00808,-0.00808,-0.00808,3.64518,369.885,899.341,647.392,990.0,767.756,218.883,243.673,73.5187,50.2203,-0.00808,-0.00808,-0.00808,-0.00808,-0.00808,-0.00808,-0.00808,-0.00808,-0.00808,-0.00808,-0.00808,-0.00808,-0.00808,-0.00808,3.63724,5.68708,175.447,519.985,316.927,263.612,376.438,158.839,19.5342,18.3156,-0.00808,-0.00808,-0.00808,-0.00808,-0.00808,-0.00808,-0.00808,-0.00808,-0.00808,-0.00808,-0.00808,-0.00808,-0.00808,-0.00808,3.64299,5.69675,68.1577,206.719,331.919,385.153,337.746,64.5931,7.64118,4.62139,-0.00808,-0.00808,-0.00808,-0.00808,-0.00808,-0.00808,-0.00808,-0.00808,-0.00808,-0.00808,-0.00808,-0.00808,-0.00808,-0.00808,4.65957,15.9178,34.3208,114.812,262.202,439.554,415.195,524.802,306.603,26.7792,-0.00808,-0.00808,-0.00808,-0.00808,-0.00808,-0.00808,-0.00808,-0.00808,-0.00808,-0.00808,-0.00808,-0.00808,-0.00808,-0.00808,6.61637,10.7491,350.437,642.034,712.702,396.394,178.868,208.285,191.563,7.56434,-0.00808,-0.00808,-0.00808,-0.00808,-0.00808,-0.00808,-0.00808,-0.00808,-0.00808,-0.00808,-0.00808,-0.00808,-0.00808,-0.00808,179.933,538.71,805.674,980.816,990.0,990.0,990.0,859.732,630.446,306.345,-0.00808,-0.00808,-0.00808,-0.00808,-0.00808,-0.00808,-0.00808,-0.00808,-0.00808,-0.00808,-0.00808,-0.00808,-0.00808,-0.00808,155.438,519.487,792.106,979.004,990.0,990.0,990.0,892.077,661.975,337.615,-0.00808,-0.00808,-0.00808,-0.00808,-0.00808,-0.00808,-0.00808,-0.00808,-0.00808,-0.00808,-0.00808,-0.00808,-0.00808,-0.00808,218.653,577.922,844.64,990.0,712.756,682.316,354.807,320.034,209.92,43.7425,-0.00808,-0.00808,-0.00808,-0.00808,-0.00808,-0.00808,-0.00808,-0.00808,-0.00808,-0.00808,-0.00808,-0.00808,-0.00808,-0.00808,221.053,585.466,854.531,990.0,990.0,990.0,990.0,895.817,655.866,339.659,2.91126,-0.00808,-0.00808,-0.00808,-0.00808,-0.00808,-0.00808,-0.00808,-0.00808,-0.00808,-0.00808,-0.00808,-0.00808,-0.00808,221.048,578.813,836.92,990.0,990.0,990.0,990.0,507.7,617.493,70.3156,6.03142,-0.00808,-0.00808,-0.00808,-0.00808,-0.00808,-0.00808,-0.00808,-0.00808,-0.00808,-0.00808,-0.00808,-0.00808,-0.00808,165.784,504.831,796.833,990.0,531.017,416.542,365.734,368.792,300.277,73.8439,3.70409,-0.00808,-0.00808,-0.00808,-0.00808,-0.00808,-0.00808,-0.00808,-0.00808,-0.00808,-0.00808,-0.00808,-0.00808,-0.00808,16.4026,23.1745,17.1817,111.506,28.1542,35.6802,137.564,50.4728,150.361,80.5954,2.94229,-0.00808,-0.00808,-0.00808,-0.00808,-0.00808,-0.00808,-0.00808,-0.00808,-0.00808,-0.00808,-0.00808,-0.00808,-0.00808,3.43216,9.87042,17.1661,30.1155,198.954,219.657,204.485,21.582,40.0816,3.38111,2.93205,-0.00808,-0.00808,-0.00808,-0.00808,-0.00808,-0.00808,-0.00808,-0.00808,-0.00808,-0.00808,-0.00808,-0.00808,-0.00808,208.659,169.606,358.077,434.159,218.1,572.736,601.465,501.048,601.094,296.021,10.0285,-0.00808,-0.00808,-0.00808,-0.00808,-0.00808,-0.00808,-0.00808,-0.00808,-0.00808,-0.00808,-0.00808,-0.00808,-0.00808,3.41823,59.6028,587.082,931.787,870.835,854.27,965.301,515.615,288.082,50.5942,6.79908,-0.00808,-0.00808,-0.00808,-0.00808,-0.00808,-0.00808,-0.00808,-0.00808,-0.00808,-0.00808,-0.00808,-0.00808,-0.00808,3.76323,63.9272,440.682,400.646,526.128,366.103,316.686,152.725,10.7235,39.0523,5.61589,-0.00808,-0.00808,-0.00808,-0.00808,-0.00808,-0.00808,-0.00808,-0.00808,-0.00808,-0.00808,-0.00808,-0.00808,-0.00808,3.8138,178.819,375.471,270.19,122.971,651.637,329.071,338.362,297.729,142.394,11.6645,-0.00808,-0.00808,-0.00808,-0.00808,-0.00808,-0.00808,-0.00808,-0.00808,-0.00808,-0.00808,-0.00808,-0.00808,-0.00808,2.49714,221.215,757.207,934.909,990.0,716.469,443.307,487.886,256.666,6.77479,2.11512,-0.00808,-0.00808,-0.00808,-0.00808,-0.00808,-0.00808,-0.00808,-0.00808,-0.00808,-0.00808,-0.00808,-0.00808,-0.00808,4.25666,10.5094,133.291,137.001,226.088,538.496,579.723,462.211,298.889,6.87664,5.16746,-0.00808,-0.00808,-0.00808,-0.00808,-0.00808,-0.00808,-0.00808,-0.00808,-0.00808,-0.00808,-0.00808,-0.00808,-0.00808,153.774,197.423,429.714,900.627,608.732,612.737,512.232,92.5677,66.1497,59.8921,9.04198,-0.00808,-0.00808,-0.00808,-0.00808,-0.00808,-0.00808,-0.00808,-0.00808,-0.00808,-0.00808,-0.00808,-0.00808,-0.00808,308.54,665.203,459.472,551.492,761.484,617.913,710.195,937.898,341.251,165.77,25.3975,-0.00808,-0.00808,-0.00808,-0.00808,-0.00808,-0.00808,-0.00808,-0.00808,-0.00808,-0.00808,-0.00808,-0.00808,-0.00808,326.477,683.013,932.772,990.0,990.0,990.0,990.0,938.872,707.619,397.237,53.7189,-0.00808,-0.00808,-0.00808,-0.00808,-0.00808,-0.00808,-0.00808,-0.00808,-0.00808,-0.00808,-0.00808,-0.00808,-0.00808,333.345,332.94,916.783,990.0,990.0,990.0,876.33,920.795,429.665,377.38,32.2555,-0.00808,-0.00808,-0.00808,-0.00808,-0.00808,-0.00808,-0.00808,-0.00808,-0.00808,-0.00808,-0.00808,-0.00808,-0.00808,32.5049,230.581,664.784,907.108,930.276,972.756,822.465,465.66,251.904,374.898,35.3607,-0.00808,-0.00808,-0.00808,-0.00808,-0.00808,-0.00808,-0.00808,-0.00808,-0.00808,-0.00808,-0.00808,-0.00808,-0.00808,53.1899,330.465,250.421,829.355,892.753,949.028,841.613,533.683,422.75,232.388,14.0818,-0.00808,-0.00808,-0.00808,-0.00808,-0.00808,-0.00808,-0.00808,-0.00808,-0.00808,-0.00808,-0.00808,-0.00808,-0.00808,2.49004,112.315,327.112,697.471,589.983,471.506,687.742,255.52,132.504,41.1718,8.48087,-0.00808,-0.00808,-0.00808,-0.00808,-0.00808,-0.00808,-0.00808,-0.00808,-0.00808,-0.00808,-0.00808,-0.00808,-0.00808,3.37904,11.4163,34.3578,168.449,254.89,448.267,315.058,79.4738,221.77,87.2633,4.87423,-0.00808,-0.00808,-0.00808,-0.00808,-0.00808,-0.00808,-0.00808,-0.00808,-0.00808,-0.00808,-0.00808,-0.00808,1.35215,245.186,409.429,578.564,721.103,686.207,500.457,516.96,465.224,279.317,3.31825,7.82731,-0.00808,-0.00808,-0.00808,-0.00808,-0.00808,-0.00808,-0.00808,-0.00808,-0.00808,-0.00808,-0.00808,-0.00808,-0.00808,3.39629,6.0057,19.4806,69.2999,173.268,424.42,252.636,319.21,9.58749,10.5857,4.19386,-0.00808,-0.00808,-0.00808,-0.00808,-0.00808,-0.00808,-0.00808,-0.00808,-0.00808,-0.00808,-0.00808,-0.00808,1.43634,6.121,78.3186,191.84,322.486,51.8397,661.557,185.654,265.84,50.1989,34.2992,6.41791,-0.00808,-0.00808,-0.00808,-0.00808,-0.00808,-0.00808,-0.00808,-0.00808,-0.00808,-0.00808,-0.00808,-0.00808,2.6774,7.22392,43.6594,117.532,366.446,577.134,313.204,840.169,256.899,110.499,18.004,16.8196,-0.00808,-0.00808,-0.00808,-0.00808,-0.00808,-0.00808,-0.00808,-0.00808,-0.00808,-0.00808,-0.00808,-0.00808,1.8129,11.6011,79.0039,102.735,308.656,269.595,329.605,324.31,441.422,293.913,67.9705,18.3012,-0.00808,-0.00808,-0.00808,-0.00808,-0.00808,-0.00808,-0.00808,-0.00808,-0.00808,-0.00808,-0.00808,-0.00808,2.80988,11.5697,259.475,598.554,780.27,669.703,642.03,309.19,648.419,242.595,17.852,41.2928,-0.00808,-0.00808,-0.00808,-0.00808,-0.00808,-0.00808,-0.00808,-0.00808,-0.00808,-0.00808,-0.00808,-0.00808,2.84354,12.7293,348.74,478.416,296.374,481.771,468.465,525.431,317.986,603.139,351.587,33.4106,-0.00808,-0.00808,-0.00808,-0.00808,-0.00808,-0.00808,-0.00808,-0.00808,-0.00808,-0.00808,-0.00808,-0.00808,5.96245,385.441,576.73,574.948,761.853,587.754,820.592,990.0,294.582,394.884,396.805,74.6058,-0.00808,-0.00808,-0.00808,-0.00808,-0.00808,-0.00808,-0.00808,-0.00808,-0.00808,-0.00808,-0.00808,-0.00808,4.22007,227.997,495.529,623.701,877.117,990.0,785.988,570.802,290.691,151.657,19.1413,12.4519,-0.00808,-0.00808,-0.00808,-0.00808,-0.00808,-0.00808,-0.00808,-0.00808,-0.00808,-0.00808,-0.00808,-0.00808,2.45354,393.331,408.049,777.158,741.16,990.0,984.287,885.966,623.139,395.588,233.827,22.3154,-0.00808,-0.00808,-0.00808,-0.00808,-0.00808,-0.00808,-0.00808,-0.00808,-0.00808,-0.00808,-0.00808,-0.00808,13.1795,10.7192,434.621,576.847,491.818,252.577,496.202,327.413,333.898,347.338,232.002,30.7292,-0.00808,-0.00808,-0.00808,-0.00808,-0.00808,-0.00808,-0.00808,-0.00808,-0.00808,-0.00808,-0.00808,-0.00808,15.0446,404.818,717.84,960.066,990.0,990.0,990.0,990.0,934.534,700.356,392.696,77.3395,-0.00808,-0.00808,-0.00808,-0.00808,-0.00808,-0.00808,-0.00808,-0.00808,-0.00808,-0.00808,-0.00808,-0.00808,16.2231,389.373,705.079,943.819,990.0,990.0,990.0,990.0,914.961,686.867,379.88,76.8483,-0.00808,-0.00808,-0.00808,-0.00808,-0.00808,-0.00808,-0.00808,-0.00808,-0.00808,-0.00808,-0.00808,-0.00808,19.9883,408.49,720.503,951.791,990.0,990.0,990.0,990.0,913.241,684.004,382.962,76.6075,-0.00808,-0.00808,-0.00808,-0.00808,-0.00808,-0.00808,-0.00808,-0.00808,-0.00808,-0.00808,-0.00808,-0.00808,21.5955,398.734,689.174,902.25,990.0,990.0,990.0,990.0,896.046,507.846,231.942,70.1445,-0.00808,-0.00808,-0.00808,-0.00808,-0.00808,-0.00808,-0.00808,-0.00808,-0.00808,-0.00808,-0.00808,-0.00808,20.6635,375.02,673.994,894.648,990.0,990.0,860.094,685.614,617.049,651.121,253.686,14.3735,-0.00808,-0.00808,-0.00808,-0.00808,-0.00808,-0.00808,-0.00808,-0.00808,-0.00808,-0.00808,-0.00808,-0.00808,2.46072,133.645,344.88,534.972,432.82,528.655,538.906,317.289,316.193,408.484,212.726,14.7192,-0.00808,-0.00808,-0.00808,-0.00808,-0.00808,-0.00808,-0.00808,-0.00808,-0.00808,-0.00808,-0.00808,-0.00808,25.0755,422.201,729.325,643.665,990.0,990.0,990.0,990.0,925.374,694.182,387.652,79.9848,-0.00808,-0.00808,-0.00808,-0.00808,-0.00808,-0.00808,-0.00808,-0.00808,-0.00808,-0.00808,-0.00808,-0.00808,95.5908,424.778,723.828,951.79,990.0,990.0,990.0,990.0,907.814,680.583,380.747,78.5154,-0.00808,-0.00808,-0.00808,-0.00808,-0.00808,-0.00808,-0.00808,-0.00808,-0.00808,-0.00808,-0.00808,-0.00808,90.9779,395.702,674.18,883.703,990.0,990.0,827.246,214.315,235.18,386.784,222.128,11.8402,-0.00808,-0.00808,-0.00808,-0.00808,-0.00808,-0.00808,-0.00808,-0.00808,-0.00808,-0.00808,-0.00808,-0.00808,2.49252,136.487,338.334,511.766,111.969,232.58,508.25,555.993,597.314,487.588,232.705,16.4383,-0.00808,-0.00808,-0.00808,-0.00808,-0.00808,-0.00808,-0.00808,-0.00808,-0.00808,-0.00808,-0.00808,-0.00808,51.8597,228.722,344.344,723.901,683.411,848.398,564.968,565.292,639.503,481.808,135.803,4.85418,-0.00808,-0.00808,-0.00808,-0.00808,-0.00808,-0.00808,-0.00808,-0.00808,-0.00808,-0.00808,-0.00808,-0.00808,79.9022,360.291,664.825,900.953,990.0,747.856,990.0,990.0,895.631,664.899,364.526,84.1291,-0.00808,-0.00808,-0.00808,-0.00808,-0.00808,-0.00808,-0.00808,-0.00808,-0.00808,-0.00808,-0.00808,-0.00808,38.9271,185.696,427.59,243.774,283.641,313.055,424.431,283.635,240.71,109.53,15.863,3.2383,-0.00808,-0.00808,-0.00808,-0.00808,-0.00808,-0.00808,-0.00808,-0.00808,-0.00808,-0.00808,-0.00808,-0.00808,3.38121,95.6083,112.223,290.669,582.762,398.57,214.835,269.01,254.688,245.058,170.846,18.5117,-0.00808,-0.00808,-0.00808,-0.00808,-0.00808,-0.00808,-0.00808,-0.00808,-0.00808,-0.00808,-0.00808,-0.00808,89.9747,361.124,649.788,874.467,990.0,990.0,990.0,987.858,838.247,617.194,299.443,89.3186,-0.00808,-0.00808,-0.00808,-0.00808,-0.00808,-0.00808,-0.00808,-0.00808,-0.00808,-0.00808,-0.00808,-0.00808,73.4711,246.443,655.321,877.073,990.0,990.0,990.0,944.485,844.847,602.893,285.283,83.0675,-0.00808,-0.00808,-0.00808,-0.00808,-0.00808,-0.00808,-0.00808,-0.00808,-0.00808,-0.00808,-0.00808,-0.00808,58.9176,203.723,611.655,834.437,990.0,835.325,806.072,667.429,405.758,97.7783,64.2555,81.172,-0.00808,-0.00808,-0.00808,-0.00808,-0.00808,-0.00808,-0.00808,-0.00808,-0.00808,-0.00808,-0.00808,-0.00808,2.49017,191.622,409.886,250.138,371.896,373.1,225.479,816.201,174.664,477.069,185.132,3.2945,-0.00808,-0.00808,-0.00808,-0.00808,-0.00808,-0.00808,-0.00808,-0.00808,-0.00808,-0.00808,-0.00808,-0.00808,2.55993,83.3286,326.043,569.277,773.952,938.268,855.978,503.746,513.893,391.002,284.204,5.07408,-0.00808,-0.00808,-0.00808,-0.00808,-0.00808,-0.00808,-0.00808,-0.00808,-0.00808,-0.00808,-0.00808,-0.00808,4.35052,20.1658,120.998,196.812,375.926,767.048,990.0,990.0,578.208,374.233,367.209,88.6199,-0.00808,-0.00808,-0.00808,-0.00808,-0.00808,-0.00808,-0.00808,-0.00808,-0.00808,-0.00808,-0.00808,-0.00808,12.6681,199.824,385.016,512.42,687.371,758.755,796.241,750.203,622.512,526.248,281.553,58.6505,-0.00808,-0.00808,-0.00808,-0.00808,-0.00808,-0.00808,-0.00808,-0.00808,-0.00808,-0.00808,-0.00808,-0.00808,134.575,447.988,736.319,952.345,990.0,990.0,990.0,990.0,899.573,672.192,371.066,80.6101,-0.00808,-0.00808,-0.00808,-0.00808,-0.00808,-0.00808,-0.00808,-0.00808,-0.00808,-0.00808,-0.00808,-0.00808,64.3113,368.224,552.489,928.324,990.0,990.0,931.205,990.0,868.265,648.595,355.728,82.796,-0.00808,-0.00808,-0.00808,-0.00808,-0.00808,-0.00808,-0.00808,-0.00808,-0.00808,-0.00808,-0.00808,-0.00808,131.462,424.993,695.123,903.762,990.0,990.0,826.755,857.096,668.965,50.8045,20.4405,3.28745,-0.00808,-0.00808,-0.00808,-0.00808,-0.00808,-0.00808,-0.00808,-0.00808,-0.00808,-0.00808,-0.00808,-0.00808,3.44953,149.025,77.8387,228.179,218.608,133.93,405.193,364.011,438.626,517.255,9.71825,3.36601,-0.00808,-0.00808,-0.00808,-0.00808,-0.00808,-0.00808,-0.00808,-0.00808,-0.00808,-0.00808,-0.00808,-0.00808,31.6356,163.631,60.9385,427.999,413.046,255.974,241.648,305.37,268.894,80.6257,139.355,22.5586,-0.00808,-0.00808,-0.00808,-0.00808,-0.00808,-0.00808,-0.00808,-0.00808,-0.00808,-0.00808,-0.00808,-0.00808,40.7397,92.4808,205.164,293.762,214.205,325.927,474.17,443.69,290.872,177.923,113.233,26.3745,-0.00808,-0.00808,-0.00808,-0.00808,-0.00808,-0.00808,-0.00808,-0.00808,-0.00808,-0.00808,-0.00808,1.36613,5.26339,57.8476,147.193,195.605,258.704,314.615,332.683,497.116,201.789,149.317,81.4679,30.1588,5.95634,-0.00808,-0.00808,-0.00808,-0.00808,-0.00808,-0.00808,-0.00808,-0.00808,-0.00808,-0.00808,8.36499,146.21,445.692,719.794,921.871,990.0,599.834,553.984,364.382,590.781,259.042,98.5589,79.8746,13.7446,-0.00808,-0.00808,-0.00808,-0.00808,-0.00808,-0.00808,-0.00808,-0.00808,-0.00808,-0.00808,2.88008,18.2437,339.378,386.508,922.276,965.516,990.0,791.136,411.09,415.9,419.792,33.5676,113.949,3.62465,-0.00808,-0.00808,-0.00808,-0.00808,-0.00808,-0.00808,-0.00808,-0.00808,-0.00808,-0.00808,3.00799,65.188,274.185,537.964,905.499,600.177,546.306,301.476,155.471,443.302,406.839,309.281,76.9638,4.41229,-0.00808,-0.00808,-0.00808,-0.00808,-0.00808,-0.00808,-0.00808,-0.00808,-0.00808,-0.00808,6.33653,134.031,224.945,424.286,668.335,663.145,851.33,479.828,801.947,540.946,378.482,299.421,18.7273,2.878,-0.00808,-0.00808,-0.00808,-0.00808,-0.00808,-0.00808,-0.00808,-0.00808,-0.00808,-0.00808,14.313,155.859,460.142,729.336,927.565,990.0,990.0,990.0,990.0,871.173,652.697,357.174,81.0574,15.0333,-0.00808,-0.00808,-0.00808,-0.00808,-0.00808,-0.00808,-0.00808,-0.00808,-0.00808,-0.00808,16.2147,158.283,465.213,726.27,930.911,990.0,990.0,990.0,990.0,868.413,650.679,354.678,79.8133,16.3378,-0.00808,-0.00808,-0.00808,-0.00808,-0.00808,-0.00808,-0.00808,-0.00808,-0.00808,-0.00808,17.6198,159.25,464.973,725.435,921.027,990.0,990.0,990.0,981.889,832.027,624.909,344.682,81.1078,16.9607,-0.00808,-0.00808,-0.00808,-0.00808,-0.00808,-0.00808,-0.00808,-0.00808,-0.00808,-0.00808,18.3934,157.379,455.01,708.831,897.042,990.0,990.0,990.0,971.262,823.115,616.108,340.362,80.2099,17.5403,-0.00808,-0.00808,-0.00808,-0.00808,-0.00808,-0.00808,-0.00808,-0.00808,-0.00808,-0.00808,19.7139,159.364,456.182,713.524,908.386,990.0,990.0,990.0,988.014,837.514,624.244,341.719,78.0043,18.3854,-0.00808,-0.00808,-0.00808,-0.00808,-0.00808,-0.00808,-0.00808,-0.00808,-0.00808,-0.00808,20.1118,160.636,456.079,709.827,903.329,990.0,990.0,990.0,978.413,822.629,614.139,334.663,78.736,19.6605,-0.00808,-0.00808,-0.00808,-0.00808,-0.00808,-0.00808,-0.00808,-0.00808,-0.00808,-0.00808,21.8605,157.592,446.18,692.255,863.669,978.505,990.0,990.0,935.542,795.929,596.098,300.659,99.5337,17.7572,-0.00808,-0.00808,-0.00808,-0.00808,-0.00808,-0.00808,-0.00808,-0.00808,-0.00808,-0.00808,22.8097,158.139,443.907,701.004,890.556,990.0,990.0,990.0,975.23,815.924,608.814,330.865,85.7798,22.3422,-0.00808,-0.00808,-0.00808,-0.00808,-0.00808,-0.00808,-0.00808,-0.00808,-0.00808,-0.00808,20.064,95.4853,388.771,656.109,676.971,863.747,857.761,904.035,990.0,850.317,630.34,278.321,101.561,29.3296,-0.00808,-0.00808,-0.00808,-0.00808,-0.00808,-0.00808,-0.00808,-0.00808,-0.00808,-0.00808,17.3173,3.32026,32.3188,275.445,235.48,280.612,208.114,552.369,25.854,566.639,606.969,317.189,6.78206,8.95266,-0.00808,-0.00808,-0.00808,-0.00808,-0.00808,-0.00808,-0.00808,-0.00808,-0.00808,-0.00808,11.2324,167.785,294.759,515.321,512.654,911.822,730.456,903.468,677.344,601.408,404.726,181.042,94.4594,16.7775,-0.00808,-0.00808,-0.00808,-0.00808,-0.00808,-0.00808,-0.00808,-0.00808,-0.00808,-0.00808,13.9313,166.455,427.713,585.121,908.495,923.437,983.077,949.07,982.262,628.61,516.658,279.398,125.147,5.74994,-0.00808,-0.00808,-0.00808,-0.00808,-0.00808,-0.00808,-0.00808,-0.00808,-0.00808,-0.00808,19.238,4.1758,204.674,450.924,275.777,434.08,693.922,889.469,793.682,267.643,321.599,257.637,8.35696,9.47184,-0.00808,-0.00808,-0.00808,-0.00808,-0.00808,-0.00808,-0.00808,-0.00808,-0.00808,-0.00808,22.0627,163.135,423.481,670.621,864.543,990.0,790.727,972.538,885.073,680.388,493.133,294.764,118.782,13.9883,-0.00808,-0.00808,-0.00808,-0.00808,-0.00808,-0.00808,-0.00808,-0.00808,-0.00808,-0.00808,33.0442,166.599,414.657,498.62,596.405,209.444,661.203,816.334,743.492,103.227,413.558,138.154,107.571,32.2358,-0.00808,-0.00808,-0.00808,-0.00808,-0.00808,-0.00808,-0.00808,-0.00808,-0.00808,-0.00808,2.48822,4.33961,106.673,68.5097,59.0916,56.7766,373.743,509.01,642.191,550.176,308.079,35.9132,52.6149,3.46665,-0.00808,-0.00808,-0.00808,-0.00808,-0.00808,-0.00808,-0.00808,-0.00808,-0.00808,-0.00808,21.7002,46.111,251.823,333.336,188.091,620.153,347.805,598.107,657.642,534.215,432.313,77.2949,100.358,38.833,-0.00808,-0.00808,-0.00808,-0.00808,-0.00808,-0.00808,-0.00808,-0.00808,-0.00808,-0.00808,2.45715,100.37,197.24,509.304,387.024,501.283,808.805,108.306,141.117,249.044,136.206,47.4745,7.68743,4.82592,-0.00808,-0.00808,-0.00808,-0.00808,-0.00808,-0.00808,-0.00808,-0.00808,-0.00808,-0.00808,2.4413,80.2414,326.13,426.045,872.622,847.78,817.194,695.335,198.682,208.822,189.933,187.998,78.6779,6.32899,-0.00808,-0.00808,-0.00808,-0.00808,-0.00808,-0.00808,-0.00808,-0.00808,-0.00808,-0.00808,36.6069,154.849,353.328,714.085,900.841,990.0,990.0,990.0,970.849,821.304,617.934,339.897,85.2635,42.5799,-0.00808,-0.00808,-0.00808,-0.00808,-0.00808,-0.00808,-0.00808,-0.00808,-0.00808,-0.00808,34.549,175.642,467.644,717.7,902.663,990.0,984.312,990.0,955.137,807.782,605.061,333.721,102.428,42.5486,-0.00808,-0.00808,-0.00808,-0.00808,-0.00808,-0.00808,-0.00808,-0.00808,-0.00808,-0.00808,16.7354,177.587,407.962,587.919,727.815,867.625,944.835,923.786,820.843,795.339,594.578,325.085,78.8959,38.0298,-0.00808,-0.00808,-0.00808,-0.00808,-0.00808,-0.00808,-0.00808,-0.00808,-0.00808,-0.00808,32.9844,171.482,455.246,647.485,821.35,990.0,990.0,990.0,944.416,793.153,589.307,323.545,98.157,40.4087,-0.00808,-0.00808,-0.00808,-0.00808,-0.00808,-0.00808,-0.00808,-0.00808,-0.00808,-0.00808,42.4541,172.729,301.031,424.267,463.665,664.847,945.112,879.618,725.316,762.789,567.948,284.174,94.5325,43.2214,-0.00808,-0.00808,-0.00808,-0.00808,-0.00808,-0.00808,-0.00808,-0.00808,-0.00808,-0.00808,42.5563,178.637,305.941,658.125,728.502,950.844,990.0,986.582,615.172,565.307,568.284,126.144,3.94777,42.4921,-0.00808,-0.00808,-0.00808,-0.00808,-0.00808,-0.00808,-0.00808,-0.00808,-0.00808,-0.00808,29.4063,167.058,329.747,555.879,683.016,689.052,907.245,749.911,838.556,796.832,466.645,92.8293,105.745,14.6949,-0.00808,-0.00808,-0.00808,-0.00808,-0.00808,-0.00808,-0.00808,-0.00808,-0.00808,-0.00808,5.02231,4.16827,211.623,493.447,538.623,833.578,772.45,675.606,464.035,174.532,588.923,332.656,103.439,49.9924,-0.00808,-0.00808,-0.00808,-0.00808,-0.00808,-0.00808,-0.00808,-0.00808,-0.00808,-0.00808,55.405,75.9402,266.568,499.232,737.539,889.228,909.972,915.795,805.147,566.579,383.286,284.668,87.1804,5.90844,-0.00808,-0.00808,-0.00808,-0.00808,-0.00808,-0.00808,-0.00808,-0.00808,-0.00808,-0.00808,48.2547,120.67,199.85,417.447,471.588,554.484,371.754,650.677,903.421,612.473,578.459,153.554,86.3657,22.9849,-0.00808,-0.00808,-0.00808,-0.00808,-0.00808,-0.00808,-0.00808,-0.00808,-0.00808,-0.00808,43.9645,179.496,406.218,544.048,828.045,892.039,780.612,498.358,681.888,565.491,14.8913,92.8941,114.621,20.9309,-0.00808,-0.00808,-0.00808,-0.00808,-0.00808,-0.00808,-0.00808,-0.00808,-0.00808,-0.00808,4.13685,28.8033,321.961,433.555,627.845,686.663,702.641,695.631,216.336,195.634,87.2652,209.517,19.0648,19.4517,-0.00808,-0.00808,-0.00808,-0.00808,-0.00808,-0.00808,-0.00808,-0.00808,-0.00808,-0.00808,36.8773,11.0974,7.42669,493.926,669.117,926.302,793.151,702.179,237.876,635.797,468.152,272.096,147.863,55.3225,-0.00808,-0.00808,-0.00808,-0.00808,-0.00808,-0.00808,-0.00808,-0.00808,-0.00808,-0.00808,46.5005,180.471,368.901,684.661,649.62,689.516,218.444,835.19,809.778,331.977,461.795,307.493,90.8193,50.9739,-0.00808,-0.00808,-0.00808,-0.00808,-0.00808,-0.00808,-0.00808,-0.00808,-0.00808,-0.00808,43.5497,172.455,447.798,687.613,867.141,986.479,990.0,990.0,731.017,603.029,596.465,330.748,94.4764,59.3506,-0.00808,-0.00808,-0.00808,-0.00808,-0.00808,-0.00808,-0.00808,-0.00808,-0.00808,-0.00808,39.2491,183.166,375.102,671.591,796.801,850.625,770.5,975.377,892.953,756.688,573.015,323.97,97.1965,57.6931,-0.00808,-0.00808,-0.00808,-0.00808,-0.00808,-0.00808,-0.00808,-0.00808,-0.00808,-0.00808,46.2641,169.407,396.863,638.988,804.291,906.16,959.843,950.985,884.892,742.408,552.909,317.12,123.559,53.8301,-0.00808,-0.00808,-0.00808,-0.00808,-0.00808,-0.00808,-0.00808,-0.00808,-0.00808,-0.00808,50.5152,188.117,379.339,593.962,777.1,904.425,982.193,970.724,696.926,614.153,559.359,311.762,118.967,59.0325,-0.00808,-0.00808,-0.00808,-0.00808,-0.00808,-0.00808,-0.00808,-0.00808,-0.00808,-0.00808,51.3325,100.011,386.383,582.962,805.149,791.437,985.665,972.682,750.973,680.892,417.091,295.017,139.952,5.4036,-0.00808,-0.00808,-0.00808,-0.00808,-0.00808,-0.00808,-0.00808,-0.00808,-0.00808,-0.00808,2.37751,84.6298,350.715,573.785,720.427,653.992,670.215,334.26,257.594,620.051,479.651,281.247,113.902,2.98365,-0.00808,-0.00808,-0.00808,-0.00808,-0.00808,-0.00808,-0.00808,-0.00808,-0.00808,-0.00808,52.3906,189.822,353.757,565.286,698.973,956.594,699.379,62.2051,564.836,670.259,431.451,268.089,109.46,64.2476,-0.00808,-0.00808,-0.00808,-0.00808,-0.00808,-0.00808,-0.00808,-0.00808,-0.00808,-0.00808,48.1446,177.343,351.55,582.013,818.019,933.341,983.917,692.927,350.427,584.6,361.792,312.157,141.189,16.6192,-0.00808,-0.00808,-0.00808,-0.00808,-0.00808,-0.00808,-0.00808,-0.00808,-0.00808,-0.00808,66.0681,179.807,393.747,644.551,773.179,769.569,715.678,735.162,699.794,645.509,513.765,325.246,98.0129,61.2964,-0.00808,-0.00808,-0.00808,-0.00808,-0.00808,-0.00808,-0.00808,-0.00808,-0.00808,-0.00808,48.072,171.815,135.362,173.018,262.981,174.873,908.708,831.238,266.505,368.734,401.967,278.627,144.103,31.987,-0.00808,-0.00808,-0.00808,-0.00808,-0.00808,-0.00808,-0.00808,-0.00808,-0.00808,-0.00808,47.0607,165.17,414.063,642.195,759.858,810.008,743.802,829.199,763.23,358.313,142.438,9.85908,30.7285,2.27992,-0.00808,-0.00808,-0.00808,-0.00808,-0.00808,-0.00808,-0.00808,-0.00808,-0.00808,-0.00808,2.41434,66.6685,67.3311,294.263,484.342,678.638,586.987,644.174,490.111,570.645,449.141,284.723,145.58,14.119,-0.00808,-0.00808,-0.00808,-0.00808,-0.00808,-0.00808,-0.00808,-0.00808,-0.00808,-0.00808,45.4778,161.91,425.967,657.556,828.487,945.387,990.0,986.101,907.528,769.736,583.209,328.463,99.6669,63.1252,-0.00808,-0.00808,-0.00808,-0.00808,-0.00808,-0.00808,-0.00808,-0.00808,-0.00808,-0.00808,47.0394,161.463,401.652,621.587,691.601,792.287,804.871,774.855,717.032,560.109,467.864,273.124,81.7848,38.6971,-0.00808,-0.00808,-0.00808,-0.00808,-0.00808,-0.00808,-0.00808,-0.00808,-0.00808,-0.00808,2.39324,184.82,171.826,414.576,207.473,810.619,961.572,955.27,792.36,766.905,436.586,289.664,141.536,67.7697,-0.00808,-0.00808,-0.00808,-0.00808,-0.00808,-0.00808,-0.00808,-0.00808,-0.00808,-0.00808,46.9363,182.062,384.749,542.316,531.724,184.925,990.0,818.079,755.967,591.898,488.549,338.049,104.454,65.827,-0.00808,-0.00808,-0.00808,-0.00808,-0.00808,-0.00808,-0.00808,-0.00808,-0.00808,-0.00808,61.8894,180.762,417.701,646.123,620.164,717.426,428.875,775.804,635.503,245.728,267.667,286.186,160.776,16.7598,-0.00808,-0.00808,-0.00808,-0.00808,-0.00808,-0.00808,-0.00808,-0.00808,-0.00808,-0.00808,49.4738,161.886,412.313,644.976,576.618,638.389,668.996,616.351,677.973,689.963,502.58,317.637,154.79,69.2505,-0.00808,-0.00808,-0.00808,-0.00808</t>
  </si>
  <si>
    <t>-0.0404,-0.0404,-0.0404,-0.0404,-0.0404,-0.0404,-0.0404,-0.0404,505.873,3724.2,4784.27,4950.0,4950.0,3774.37,854.629,2186.1,293.868,-0.0404,-0.0404,-0.0404,-0.0404,-0.0404,-0.0404,-0.0404,-0.0404,-0.0404,-0.0404,-0.0404,-0.0404,-0.0404,-0.0404,-0.0404,499.492,997.626,4736.19,157.594,2758.07,607.552,957.322,1014.39,20.6718,-0.0404,-0.0404,-0.0404,-0.0404,-0.0404,-0.0404,-0.0404,-0.0404,-0.0404,-0.0404,-0.0404,-0.0404,-0.0404,-0.0404,-0.0404,36.2015,936.78,671.185,4950.0,2815.54,4950.0,1730.96,624.928,16.3381,-0.0404,-0.0404,-0.0404,-0.0404,-0.0404,-0.0404,-0.0404,-0.0404,-0.0404,-0.0404,-0.0404,-0.0404,-0.0404,-0.0404,-0.0404,2411.49,3949.64,4950.0,4950.0,4950.0,4950.0,4075.43,2592.16,524.929,-0.0404,-0.0404,-0.0404,-0.0404,-0.0404,-0.0404,-0.0404,-0.0404,-0.0404,-0.0404,-0.0404,-0.0404,-0.0404,-0.0404,-0.0404,31.6799,586.301,178.013,217.306,234.412,154.309,115.128,31.0437,42.9383,-0.0404,-0.0404,-0.0404,-0.0404,-0.0404,-0.0404,-0.0404,-0.0404,-0.0404,-0.0404,-0.0404,-0.0404,-0.0404,-0.0404,-0.0404,125.848,435.532,721.023,1091.31,2896.73,924.229,530.495,253.298,39.5375,-0.0404,-0.0404,-0.0404,-0.0404,-0.0404,-0.0404,-0.0404,-0.0404,-0.0404,-0.0404,-0.0404,-0.0404,-0.0404,-0.0404,-0.0404,639.319,4295.33,4950.0,2143.84,2369.31,4950.0,854.732,320.884,139.793,-0.0404,-0.0404,-0.0404,-0.0404,-0.0404,-0.0404,-0.0404,-0.0404,-0.0404,-0.0404,-0.0404,-0.0404,-0.0404,-0.0404,-0.0404,194.268,784.423,2736.72,1116.28,2921.94,964.949,1281.2,298.948,81.8675,-0.0404,-0.0404,-0.0404,-0.0404,-0.0404,-0.0404,-0.0404,-0.0404,-0.0404,-0.0404,-0.0404,-0.0404,-0.0404,-0.0404,-0.0404,2736.84,4476.13,4950.0,4950.0,4950.0,4950.0,4685.1,3011.82,740.131,-0.0404,-0.0404,-0.0404,-0.0404,-0.0404,-0.0404,-0.0404,-0.0404,-0.0404,-0.0404,-0.0404,-0.0404,-0.0404,-0.0404,-0.0404,145.396,313.764,2476.86,2688.9,1644.41,4950.0,1651.67,2858.04,80.2626,-0.0404,-0.0404,-0.0404,-0.0404,-0.0404,-0.0404,-0.0404,-0.0404,-0.0404,-0.0404,-0.0404,-0.0404,-0.0404,-0.0404,-0.0404,102.39,4180.01,1262.33,1294.47,822.296,1191.12,1778.29,1363.42,24.7669,-0.0404,-0.0404,-0.0404,-0.0404,-0.0404,-0.0404,-0.0404,-0.0404,-0.0404,-0.0404,-0.0404,-0.0404,-0.0404,-0.0404,-0.0404,96.1676,785.178,3569.69,3110.35,744.698,785.153,381.78,179.197,68.6711,-0.0404,-0.0404,-0.0404,-0.0404,-0.0404,-0.0404,-0.0404,-0.0404,-0.0404,-0.0404,-0.0404,-0.0404,-0.0404,-0.0404,-0.0404,125.297,734.95,140.726,173.572,1753.03,840.766,423.332,225.952,33.5281,-0.0404,-0.0404,-0.0404,-0.0404,-0.0404,-0.0404,-0.0404,-0.0404,-0.0404,-0.0404,-0.0404,-0.0404,-0.0404,-0.0404,-0.0404,102.671,1213.64,2631.31,446.79,417.348,1079.21,742.346,237.64,20.653,-0.0404,-0.0404,-0.0404,-0.0404,-0.0404,-0.0404,-0.0404,-0.0404,-0.0404,-0.0404,-0.0404,-0.0404,-0.0404,-0.0404,-0.0404,285.84,370.788,786.857,938.444,781.912,545.269,496.415,255.297,20.427,-0.0404,-0.0404,-0.0404,-0.0404,-0.0404,-0.0404,-0.0404,-0.0404,-0.0404,-0.0404,-0.0404,-0.0404,-0.0404,-0.0404,-0.0404,149.973,482.066,927.97,1239.62,1392.46,4244.46,4648.62,3200.1,899.666,-0.0404,-0.0404,-0.0404,-0.0404,-0.0404,-0.0404,-0.0404,-0.0404,-0.0404,-0.0404,-0.0404,-0.0404,-0.0404,-0.0404,-0.0404,55.7013,500.173,957.788,916.942,1960.7,1374.68,4532.77,3068.38,117.036,-0.0404,-0.0404,-0.0404,-0.0404,-0.0404,-0.0404,-0.0404,-0.0404,-0.0404,-0.0404,-0.0404,-0.0404,-0.0404,-0.0404,-0.0404,55.283,4517.3,4950.0,4950.0,4950.0,4950.0,4573.22,3132.4,44.7784,-0.0404,-0.0404,-0.0404,-0.0404,-0.0404,-0.0404,-0.0404,-0.0404,-0.0404,-0.0404,-0.0404,-0.0404,-0.0404,-0.0404,-0.0404,48.3203,104.237,462.423,1662.91,1682.08,902.492,1323.79,3019.69,138.84,-0.0404,-0.0404,-0.0404,-0.0404,-0.0404,-0.0404,-0.0404,-0.0404,-0.0404,-0.0404,-0.0404,-0.0404,-0.0404,-0.0404,-0.0404,41.8774,793.054,1966.82,4950.0,4950.0,4950.0,4366.83,863.546,185.001,-0.0404,-0.0404,-0.0404,-0.0404,-0.0404,-0.0404,-0.0404,-0.0404,-0.0404,-0.0404,-0.0404,-0.0404,-0.0404,-0.0404,-0.0404,30.717,259.812,791.465,866.685,942.95,931.44,711.658,440.168,156.836,-0.0404,-0.0404,-0.0404,-0.0404,-0.0404,-0.0404,-0.0404,-0.0404,-0.0404,-0.0404,-0.0404,-0.0404,-0.0404,-0.0404,20.9266,488.04,1183.92,1510.15,1578.1,1644.6,1413.51,895.036,474.64,131.421,-0.0404,-0.0404,-0.0404,-0.0404,-0.0404,-0.0404,-0.0404,-0.0404,-0.0404,-0.0404,-0.0404,-0.0404,-0.0404,-0.0404,16.5041,314.235,778.733,1024.08,1441.9,3917.9,1990.94,709.578,484.876,210.276,-0.0404,-0.0404,-0.0404,-0.0404,-0.0404,-0.0404,-0.0404,-0.0404,-0.0404,-0.0404,-0.0404,-0.0404,-0.0404,-0.0404,29.4532,433.12,848.478,1212.58,1661.72,2009.02,1400.81,765.21,429.165,145.873,-0.0404,-0.0404,-0.0404,-0.0404,-0.0404,-0.0404,-0.0404,-0.0404,-0.0404,-0.0404,-0.0404,-0.0404,-0.0404,-0.0404,23.2441,262.566,543.754,700.443,1368.85,874.492,474.453,287.192,172.314,68.5929,-0.0404,-0.0404,-0.0404,-0.0404,-0.0404,-0.0404,-0.0404,-0.0404,-0.0404,-0.0404,-0.0404,-0.0404,-0.0404,-0.0404,15.4362,205.198,447.951,892.875,1291.71,1254.29,751.09,338.695,166.041,60.6549,-0.0404,-0.0404,-0.0404,-0.0404,-0.0404,-0.0404,-0.0404,-0.0404,-0.0404,-0.0404,-0.0404,-0.0404,-0.0404,-0.0404,20.0005,120.836,230.821,431.586,703.98,616.968,444.911,254.516,109.262,43.7447,-0.0404,-0.0404,-0.0404,-0.0404,-0.0404,-0.0404,-0.0404,-0.0404,-0.0404,-0.0404,-0.0404,-0.0404,-0.0404,-0.0404,42.502,790.387,2218.13,1808.53,1721.31,2615.05,3446.85,4437.0,3138.82,1272.78,-0.0404,-0.0404,-0.0404,-0.0404,-0.0404,-0.0404,-0.0404,-0.0404,-0.0404,-0.0404,-0.0404,-0.0404,-0.0404,-0.0404,128.459,1809.92,3323.49,4423.85,4950.0,4950.0,4950.0,4495.75,2487.99,470.946,-0.0404,-0.0404,-0.0404,-0.0404,-0.0404,-0.0404,-0.0404,-0.0404,-0.0404,-0.0404,-0.0404,-0.0404,-0.0404,-0.0404,39.0501,152.147,140.12,179.384,224.24,213.093,234.195,230.989,186.223,87.7851,-0.0404,-0.0404,-0.0404,-0.0404,-0.0404,-0.0404,-0.0404,-0.0404,-0.0404,-0.0404,-0.0404,-0.0404,-0.0404,-0.0404,25.9701,157.595,288.396,379.713,255.324,202.66,239.49,252.097,186.14,93.0512,-0.0404,-0.0404,-0.0404,-0.0404,-0.0404,-0.0404,-0.0404,-0.0404,-0.0404,-0.0404,-0.0404,-0.0404,-0.0404,-0.0404,21.6913,152.557,316.277,414.594,427.823,410.954,406.767,291.927,219.802,84.8246,-0.0404,-0.0404,-0.0404,-0.0404,-0.0404,-0.0404,-0.0404,-0.0404,-0.0404,-0.0404,-0.0404,-0.0404,-0.0404,-0.0404,74.2503,1391.65,4341.77,4950.0,4950.0,4950.0,4950.0,4575.83,2876.5,939.918,-0.0404,-0.0404,-0.0404,-0.0404,-0.0404,-0.0404,-0.0404,-0.0404,-0.0404,-0.0404,-0.0404,-0.0404,-0.0404,-0.0404,735.289,2815.01,4254.32,4950.0,4950.0,4950.0,4950.0,4461.12,3207.98,1466.57,-0.0404,-0.0404,-0.0404,-0.0404,-0.0404,-0.0404,-0.0404,-0.0404,-0.0404,-0.0404,-0.0404,-0.0404,-0.0404,-0.0404,310.308,2353.18,3864.47,4742.99,3489.15,4950.0,3389.65,4504.77,3260.03,1474.94,-0.0404,-0.0404,-0.0404,-0.0404,-0.0404,-0.0404,-0.0404,-0.0404,-0.0404,-0.0404,-0.0404,-0.0404,-0.0404,-0.0404,13.0368,2848.63,4313.57,4950.0,4950.0,4950.0,4950.0,4534.73,3278.66,1522.33,-0.0404,-0.0404,-0.0404,-0.0404,-0.0404,-0.0404,-0.0404,-0.0404,-0.0404,-0.0404,-0.0404,-0.0404,-0.0404,-0.0404,13.112,68.3121,337.977,1142.99,90.2112,159.643,225.95,1007.01,1482.72,65.0614,-0.0404,-0.0404,-0.0404,-0.0404,-0.0404,-0.0404,-0.0404,-0.0404,-0.0404,-0.0404,-0.0404,-0.0404,-0.0404,-0.0404,13.2085,43.3915,88.1903,194.537,157.169,316.603,1812.89,1133.14,67.4523,27.1441,-0.0404,-0.0404,-0.0404,-0.0404,-0.0404,-0.0404,-0.0404,-0.0404,-0.0404,-0.0404,-0.0404,-0.0404,-0.0404,-0.0404,13.1856,43.1896,904.587,474.574,167.426,1253.08,1090.44,1284.18,318.55,17.8408,-0.0404,-0.0404,-0.0404,-0.0404,-0.0404,-0.0404,-0.0404,-0.0404,-0.0404,-0.0404,-0.0404,-0.0404,-0.0404,-0.0404,18.0216,33.5153,650.088,300.228,1817.23,1176.83,1646.15,1119.13,374.1,106.616,-0.0404,-0.0404,-0.0404,-0.0404,-0.0404,-0.0404,-0.0404,-0.0404,-0.0404,-0.0404,-0.0404,-0.0404,-0.0404,-0.0404,18.1122,43.5301,93.4407,346.818,765.139,1201.96,868.145,697.482,1945.4,137.312,-0.0404,-0.0404,-0.0404,-0.0404,-0.0404,-0.0404,-0.0404,-0.0404,-0.0404,-0.0404,-0.0404,-0.0404,-0.0404,-0.0404,42.4493,2990.39,2158.47,4569.62,3756.98,4950.0,3600.1,2581.25,1606.68,181.365,-0.0404,-0.0404,-0.0404,-0.0404,-0.0404,-0.0404,-0.0404,-0.0404,-0.0404,-0.0404,-0.0404,-0.0404,-0.0404,-0.0404,18.2259,1849.43,4496.7,3236.96,4950.0,3838.78,1094.42,1218.36,367.594,251.101,-0.0404,-0.0404,-0.0404,-0.0404,-0.0404,-0.0404,-0.0404,-0.0404,-0.0404,-0.0404,-0.0404,-0.0404,-0.0404,-0.0404,18.1862,28.4354,877.235,2599.92,1584.64,1318.06,1882.19,794.197,97.671,91.5781,-0.0404,-0.0404,-0.0404,-0.0404,-0.0404,-0.0404,-0.0404,-0.0404,-0.0404,-0.0404,-0.0404,-0.0404,-0.0404,-0.0404,18.2149,28.4838,340.788,1033.6,1659.6,1925.77,1688.73,322.965,38.2059,23.107,-0.0404,-0.0404,-0.0404,-0.0404,-0.0404,-0.0404,-0.0404,-0.0404,-0.0404,-0.0404,-0.0404,-0.0404,-0.0404,-0.0404,23.2979,79.5892,171.604,574.059,1311.01,2197.77,2075.97,2624.01,1533.01,133.896,-0.0404,-0.0404,-0.0404,-0.0404,-0.0404,-0.0404,-0.0404,-0.0404,-0.0404,-0.0404,-0.0404,-0.0404,-0.0404,-0.0404,33.0819,53.7455,1752.18,3210.17,3563.51,1981.97,894.339,1041.42,957.816,37.8217,-0.0404,-0.0404,-0.0404,-0.0404,-0.0404,-0.0404,-0.0404,-0.0404,-0.0404,-0.0404,-0.0404,-0.0404,-0.0404,-0.0404,899.667,2693.55,4028.37,4904.08,4950.0,4950.0,4950.0,4298.66,3152.23,1531.72,-0.0404,-0.0404,-0.0404,-0.0404,-0.0404,-0.0404,-0.0404,-0.0404,-0.0404,-0.0404,-0.0404,-0.0404,-0.0404,-0.0404,777.19,2597.44,3960.53,4895.02,4950.0,4950.0,4950.0,4460.38,3309.88,1688.07,-0.0404,-0.0404,-0.0404,-0.0404,-0.0404,-0.0404,-0.0404,-0.0404,-0.0404,-0.0404,-0.0404,-0.0404,-0.0404,-0.0404,1093.26,2889.61,4223.2,4950.0,3563.78,3411.58,1774.03,1600.17,1049.6,218.712,-0.0404,-0.0404,-0.0404,-0.0404,-0.0404,-0.0404,-0.0404,-0.0404,-0.0404,-0.0404,-0.0404,-0.0404,-0.0404,-0.0404,1105.26,2927.33,4272.65,4950.0,4950.0,4950.0,4950.0,4479.08,3279.33,1698.29,14.5563,-0.0404,-0.0404,-0.0404,-0.0404,-0.0404,-0.0404,-0.0404,-0.0404,-0.0404,-0.0404,-0.0404,-0.0404,-0.0404,1105.24,2894.07,4184.6,4950.0,4950.0,4950.0,4950.0,2538.5,3087.46,351.578,30.1571,-0.0404,-0.0404,-0.0404,-0.0404,-0.0404,-0.0404,-0.0404,-0.0404,-0.0404,-0.0404,-0.0404,-0.0404,-0.0404,828.922,2524.15,3984.17,4950.0,2655.09,2082.71,1828.67,1843.96,1501.38,369.22,18.5205,-0.0404,-0.0404,-0.0404,-0.0404,-0.0404,-0.0404,-0.0404,-0.0404,-0.0404,-0.0404,-0.0404,-0.0404,-0.0404,82.0128,115.873,85.9087,557.53,140.771,178.401,687.822,252.364,751.803,402.977,14.7114,-0.0404,-0.0404,-0.0404,-0.0404,-0.0404,-0.0404,-0.0404,-0.0404,-0.0404,-0.0404,-0.0404,-0.0404,-0.0404,17.1608,49.3521,85.8303,150.578,994.768,1098.29,1022.42,107.91,200.408,16.9055,14.6603,-0.0404,-0.0404,-0.0404,-0.0404,-0.0404,-0.0404,-0.0404,-0.0404,-0.0404,-0.0404,-0.0404,-0.0404,-0.0404,1043.3,848.03,1790.38,2170.79,1090.5,2863.68,3007.32,2505.24,3005.47,1480.1,50.1423,-0.0404,-0.0404,-0.0404,-0.0404,-0.0404,-0.0404,-0.0404,-0.0404,-0.0404,-0.0404,-0.0404,-0.0404,-0.0404,17.0912,298.014,2935.41,4658.94,4354.18,4271.35,4826.51,2578.08,1440.41,252.971,33.9954,-0.0404,-0.0404,-0.0404,-0.0404,-0.0404,-0.0404,-0.0404,-0.0404,-0.0404,-0.0404,-0.0404,-0.0404,-0.0404,18.8161,319.636,2203.41,2003.23,2630.64,1830.52,1583.43,763.625,53.6174,195.261,28.0794,-0.0404,-0.0404,-0.0404,-0.0404,-0.0404,-0.0404,-0.0404,-0.0404,-0.0404,-0.0404,-0.0404,-0.0404,-0.0404,19.069,894.094,1877.35,1350.95,614.853,3258.18,1645.35,1691.81,1488.65,711.972,58.3224,-0.0404,-0.0404,-0.0404,-0.0404,-0.0404,-0.0404,-0.0404,-0.0404,-0.0404,-0.0404,-0.0404,-0.0404,-0.0404,12.4857,1106.08,3786.04,4674.54,4950.0,3582.34,2216.53,2439.43,1283.33,33.8739,10.5756,-0.0404,-0.0404,-0.0404,-0.0404,-0.0404,-0.0404,-0.0404,-0.0404,-0.0404,-0.0404,-0.0404,-0.0404,-0.0404,21.2833,52.5469,666.454,685.005,1130.44,2692.48,2898.61,2311.06,1494.44,34.3832,25.8373,-0.0404,-0.0404,-0.0404,-0.0404,-0.0404,-0.0404,-0.0404,-0.0404,-0.0404,-0.0404,-0.0404,-0.0404,-0.0404,768.87,987.113,2148.57,4503.13,3043.66,3063.68,2561.16,462.838,330.749,299.461,45.2099,-0.0404,-0.0404,-0.0404,-0.0404,-0.0404,-0.0404,-0.0404,-0.0404,-0.0404,-0.0404,-0.0404,-0.0404,-0.0404,1542.7,3326.01,2297.36,2757.46,3807.42,3089.56,3550.98,4689.49,1706.26,828.85,126.987,-0.0404,-0.0404,-0.0404,-0.0404,-0.0404,-0.0404,-0.0404,-0.0404,-0.0404,-0.0404,-0.0404,-0.0404,-0.0404,1632.38,3415.06,4663.86,4950.0,4950.0,4950.0,4950.0,4694.36,3538.09,1986.19,268.595,-0.0404,-0.0404,-0.0404,-0.0404,-0.0404,-0.0404,-0.0404,-0.0404,-0.0404,-0.0404,-0.0404,-0.0404,-0.0404,1666.72,1664.7,4583.92,4950.0,4950.0,4950.0,4381.65,4603.97,2148.33,1886.9,161.277,-0.0404,-0.0404,-0.0404,-0.0404,-0.0404,-0.0404,-0.0404,-0.0404,-0.0404,-0.0404,-0.0404,-0.0404,-0.0404,162.524,1152.91,3323.92,4535.54,4651.38,4863.78,4112.33,2328.3,1259.52,1874.49,176.803,-0.0404,-0.0404,-0.0404,-0.0404,-0.0404,-0.0404,-0.0404,-0.0404,-0.0404,-0.0404,-0.0404,-0.0404,-0.0404,265.949,1652.33,1252.1,4146.77,4463.77,4745.14,4208.06,2668.41,2113.75,1161.94,70.4092,-0.0404,-0.0404,-0.0404,-0.0404,-0.0404,-0.0404,-0.0404,-0.0404,-0.0404,-0.0404,-0.0404,-0.0404,-0.0404,12.4502,561.575,1635.56,3487.35,2949.92,2357.53,3438.71,1277.6,662.519,205.859,42.4044,-0.0404,-0.0404,-0.0404,-0.0404,-0.0404,-0.0404,-0.0404,-0.0404,-0.0404,-0.0404,-0.0404,-0.0404,-0.0404,16.8952,57.0816,171.789,842.247,1274.45,2241.34,1575.29,397.369,1108.85,436.316,24.3711,-0.0404,-0.0404,-0.0404,-0.0404,-0.0404,-0.0404,-0.0404,-0.0404,-0.0404,-0.0404,-0.0404,-0.0404,6.76075,1225.93,2047.15,2892.82,3605.52,3431.04,2502.28,2584.8,2326.12,1396.59,16.5912,39.1366,-0.0404,-0.0404,-0.0404,-0.0404,-0.0404,-0.0404,-0.0404,-0.0404,-0.0404,-0.0404,-0.0404,-0.0404,-0.0404,16.9815,30.0285,97.4032,346.499,866.338,2122.1,1263.18,1596.05,47.9374,52.9283,20.9693,-0.0404,-0.0404,-0.0404,-0.0404,-0.0404,-0.0404,-0.0404,-0.0404,-0.0404,-0.0404,-0.0404,-0.0404,7.1817,30.605,391.593,959.199,1612.43,259.198,3307.78,928.268,1329.2,250.994,171.496,32.0896,-0.0404,-0.0404,-0.0404,-0.0404,-0.0404,-0.0404,-0.0404,-0.0404,-0.0404,-0.0404,-0.0404,-0.0404,13.387,36.1196,218.297,587.662,1832.23,2885.67,1566.02,4200.85,1284.49,552.495,90.0199,84.0982,-0.0404,-0.0404,-0.0404,-0.0404,-0.0404,-0.0404,-0.0404,-0.0404,-0.0404,-0.0404,-0.0404,-0.0404,9.06448,58.0054,395.019,513.674,1543.28,1347.97,1648.02,1621.55,2207.11,1469.57,339.853,91.506,-0.0404,-0.0404,-0.0404,-0.0404,-0.0404,-0.0404,-0.0404,-0.0404,-0.0404,-0.0404,-0.0404,-0.0404,14.0494,57.8483,1297.38,2992.77,3901.35,3348.51,3210.15,1545.95,3242.09,1212.98,89.2601,206.464,-0.0404,-0.0404,-0.0404,-0.0404,-0.0404,-0.0404,-0.0404,-0.0404,-0.0404,-0.0404,-0.0404,-0.0404,14.2177,63.6463,1743.7,2392.08,1481.87,2408.86,2342.33,2627.16,1589.93,3015.7,1757.94,167.053,-0.0404,-0.0404,-0.0404,-0.0404,-0.0404,-0.0404,-0.0404,-0.0404,-0.0404,-0.0404,-0.0404,-0.0404,29.8122,1927.2,2883.65,2874.74,3809.26,2938.77,4102.96,4950.0,1472.91,1974.42,1984.02,373.029,-0.0404,-0.0404,-0.0404,-0.0404,-0.0404,-0.0404,-0.0404,-0.0404,-0.0404,-0.0404,-0.0404,-0.0404,21.1003,1139.98,2477.65,3118.51,4385.59,4950.0,3929.94,2854.01,1453.46,758.287,95.7064,62.2595,-0.0404,-0.0404,-0.0404,-0.0404,-0.0404,-0.0404,-0.0404,-0.0404,-0.0404,-0.0404,-0.0404,-0.0404,12.2677,1966.66,2040.25,3885.79,3705.8,4950.0,4921.43,4429.83,3115.69,1977.94,1169.13,111.577,-0.0404,-0.0404,-0.0404,-0.0404,-0.0404,-0.0404,-0.0404,-0.0404,-0.0404,-0.0404,-0.0404,-0.0404,65.8976,53.596,2173.11,2884.23,2459.09,1262.89,2481.01,1637.07,1669.49,1736.69,1160.01,153.646,-0.0404,-0.0404,-0.0404,-0.0404,-0.0404,-0.0404,-0.0404,-0.0404,-0.0404,-0.0404,-0.0404,-0.0404,75.2232,2024.09,3589.2,4800.33,4950.0,4950.0,4950.0,4950.0,4672.67,3501.78,1963.48,386.698,-0.0404,-0.0404,-0.0404,-0.0404,-0.0404,-0.0404,-0.0404,-0.0404,-0.0404,-0.0404,-0.0404,-0.0404,81.1153,1946.86,3525.39,4719.1,4950.0,4950.0,4950.0,4950.0,4574.8,3434.34,1899.4,384.241,-0.0404,-0.0404,-0.0404,-0.0404,-0.0404,-0.0404,-0.0404,-0.0404,-0.0404,-0.0404,-0.0404,-0.0404,99.9415,2042.45,3602.51,4758.96,4950.0,4950.0,4950.0,4950.0,4566.21,3420.02,1914.81,383.038,-0.0404,-0.0404,-0.0404,-0.0404,-0.0404,-0.0404,-0.0404,-0.0404,-0.0404,-0.0404,-0.0404,-0.0404,107.977,1993.67,3445.87,4511.25,4950.0,4950.0,4950.0,4950.0,4480.23,2539.23,1159.71,350.723,-0.0404,-0.0404,-0.0404,-0.0404,-0.0404,-0.0404,-0.0404,-0.0404,-0.0404,-0.0404,-0.0404,-0.0404,103.318,1875.1,3369.97,4473.24,4950.0,4950.0,4300.47,3428.07,3085.24,3255.6,1268.43,71.8674,-0.0404,-0.0404,-0.0404,-0.0404,-0.0404,-0.0404,-0.0404,-0.0404,-0.0404,-0.0404,-0.0404,-0.0404,12.3036,668.225,1724.4,2674.86,2164.1,2643.27,2694.53,1586.44,1580.96,2042.42,1063.63,73.5961,-0.0404,-0.0404,-0.0404,-0.0404,-0.0404,-0.0404,-0.0404,-0.0404,-0.0404,-0.0404,-0.0404,-0.0404,125.377,2111.01,3646.63,3218.32,4950.0,4950.0,4950.0,4950.0,4626.87,3470.91,1938.26,399.924,-0.0404,-0.0404,-0.0404,-0.0404,-0.0404,-0.0404,-0.0404,-0.0404,-0.0404,-0.0404,-0.0404,-0.0404,477.954,2123.89,3619.14,4758.95,4950.0,4950.0,4950.0,4950.0,4539.07,3402.92,1903.74,392.577,-0.0404,-0.0404,-0.0404,-0.0404,-0.0404,-0.0404,-0.0404,-0.0404,-0.0404,-0.0404,-0.0404,-0.0404,454.889,1978.51,3370.9,4418.51,4950.0,4950.0,4136.23,1071.57,1175.9,1933.92,1110.64,59.2009,-0.0404,-0.0404,-0.0404,-0.0404,-0.0404,-0.0404,-0.0404,-0.0404,-0.0404,-0.0404,-0.0404,-0.0404,12.4626,682.434,1691.67,2558.83,559.843,1162.9,2541.25,2779.97,2986.57,2437.94,1163.52,82.1914,-0.0404,-0.0404,-0.0404,-0.0404,-0.0404,-0.0404,-0.0404,-0.0404,-0.0404,-0.0404,-0.0404,-0.0404,259.298,1143.61,1721.72,3619.51,3417.06,4241.99,2824.84,2826.46,3197.52,2409.04,679.017,24.2709,-0.0404,-0.0404,-0.0404,-0.0404,-0.0404,-0.0404,-0.0404,-0.0404,-0.0404,-0.0404,-0.0404,-0.0404,399.511,1801.45,3324.12,4504.76,4950.0,3739.28,4950.0,4950.0,4478.16,3324.49,1822.63,420.646,-0.0404,-0.0404,-0.0404,-0.0404,-0.0404,-0.0404,-0.0404,-0.0404,-0.0404,-0.0404,-0.0404,-0.0404,194.635,928.481,2137.95,1218.87,1418.2,1565.27,2122.15,1418.18,1203.55,547.65,79.3149,16.1915,-0.0404,-0.0404,-0.0404,-0.0404,-0.0404,-0.0404,-0.0404,-0.0404,-0.0404,-0.0404,-0.0404,-0.0404,16.906,478.042,561.114,1453.34,2913.81,1992.85,1074.17,1345.05,1273.44,1225.29,854.232,92.5583,-0.0404,-0.0404,-0.0404,-0.0404,-0.0404,-0.0404,-0.0404,-0.0404,-0.0404,-0.0404,-0.0404,-0.0404,449.874,1805.62,3248.94,4372.34,4950.0,4950.0,4950.0,4939.29,4191.23,3085.97,1497.21,446.593,-0.0404,-0.0404,-0.0404,-0.0404,-0.0404,-0.0404,-0.0404,-0.0404,-0.0404,-0.0404,-0.0404,-0.0404,367.356,1232.22,3276.6,4385.36,4950.0,4950.0,4950.0,4722.42,4224.23,3014.47,1426.42,415.337,-0.0404,-0.0404,-0.0404,-0.0404,-0.0404,-0.0404,-0.0404,-0.0404,-0.0404,-0.0404,-0.0404,-0.0404,294.588,1018.62,3058.28,4172.18,4950.0,4176.63,4030.36,3337.15,2028.79,488.891,321.277,405.86,-0.0404,-0.0404,-0.0404,-0.0404,-0.0404,-0.0404,-0.0404,-0.0404,-0.0404,-0.0404,-0.0404,-0.0404,12.4509,958.111,2049.43,1250.69,1859.48,1865.5,1127.39,4081.0,873.322,2385.34,925.66,16.4725,-0.0404,-0.0404,-0.0404,-0.0404,-0.0404,-0.0404,-0.0404,-0.0404,-0.0404,-0.0404,-0.0404,-0.0404,12.7997,416.643,1630.22,2846.38,3869.76,4691.34,4279.89,2518.73,2569.46,1955.01,1421.02,25.3704,-0.0404,-0.0404,-0.0404,-0.0404,-0.0404,-0.0404,-0.0404,-0.0404,-0.0404,-0.0404,-0.0404,-0.0404,21.7526,100.829,604.988,984.058,1879.63,3835.24,4950.0,4950.0,2891.04,1871.16,1836.04,443.099,-0.0404,-0.0404,-0.0404,-0.0404,-0.0404,-0.0404,-0.0404,-0.0404,-0.0404,-0.0404,-0.0404,-0.0404,63.3405,999.122,1925.08,2562.1,3436.85,3793.78,3981.2,3751.02,3112.56,2631.24,1407.77,293.252,-0.0404,-0.0404,-0.0404,-0.0404,-0.0404,-0.0404,-0.0404,-0.0404,-0.0404,-0.0404,-0.0404,-0.0404,672.874,2239.94,3681.59,4761.73,4950.0,4950.0,4950.0,4950.0,4497.86,3360.96,1855.33,403.05,-0.0404,-0.0404,-0.0404,-0.0404,-0.0404,-0.0404,-0.0404,-0.0404,-0.0404,-0.0404,-0.0404,-0.0404,321.557,1841.12,2762.45,4641.62,4950.0,4950.0,4656.02,4950.0,4341.33,3242.98,1778.64,413.98,-0.0404,-0.0404,-0.0404,-0.0404,-0.0404,-0.0404,-0.0404,-0.0404,-0.0404,-0.0404,-0.0404,-0.0404,657.309,2124.96,3475.61,4518.81,4950.0,4950.0,4133.77,4285.48,3344.82,254.023,102.203,16.4372,-0.0404,-0.0404,-0.0404,-0.0404,-0.0404,-0.0404,-0.0404,-0.0404,-0.0404,-0.0404,-0.0404,-0.0404,17.2477,745.127,389.193,1140.89,1093.04,669.652,2025.96,1820.06,2193.13,2586.27,48.5912,16.8301,-0.0404,-0.0404,-0.0404,-0.0404,-0.0404,-0.0404,-0.0404,-0.0404,-0.0404,-0.0404,-0.0404,-0.0404,158.178,818.154,304.692,2140.0,2065.23,1279.87,1208.24,1526.85,1344.47,403.129,696.776,112.793,-0.0404,-0.0404,-0.0404,-0.0404,-0.0404,-0.0404,-0.0404,-0.0404,-0.0404,-0.0404,-0.0404,-0.0404,203.699,462.404,1025.82,1468.81,1071.02,1629.64,2370.85,2218.45,1454.36,889.615,566.167,131.873,-0.0404,-0.0404,-0.0404,-0.0404,-0.0404,-0.0404,-0.0404,-0.0404,-0.0404,-0.0404,-0.0404,6.83066,26.3169,289.238,735.965,978.026,1293.52,1573.07,1663.41,2485.58,1008.95,746.585,407.339,150.794,29.7817,-0.0404,-0.0404,-0.0404,-0.0404,-0.0404,-0.0404,-0.0404,-0.0404,-0.0404,-0.0404,41.8249,731.048,2228.46,3598.97,4609.35,4950.0,2999.17,2769.92,1821.91,2953.9,1295.21,492.795,399.373,68.7228,-0.0404,-0.0404,-0.0404,-0.0404,-0.0404,-0.0404,-0.0404,-0.0404,-0.0404,-0.0404,14.4004,91.2187,1696.89,1932.54,4611.38,4827.58,4950.0,3955.68,2055.45,2079.5,2098.96,167.838,569.745,18.1233,-0.0404,-0.0404,-0.0404,-0.0404,-0.0404,-0.0404,-0.0404,-0.0404,-0.0404,-0.0404,15.04,325.94,1370.93,2689.82,4527.5,3000.89,2731.53,1507.38,777.353,2216.51,2034.19,1546.4,384.819,22.0615,-0.0404,-0.0404,-0.0404,-0.0404,-0.0404,-0.0404,-0.0404,-0.0404,-0.0404,-0.0404,31.6826,670.157,1124.72,2121.43,3341.67,3315.72,4256.65,2399.14,4009.73,2704.73,1892.41,1497.1,93.6366,14.39,-0.0404,-0.0404,-0.0404,-0.0404,-0.0404,-0.0404,-0.0404,-0.0404,-0.0404,-0.0404,71.5651,779.296,2300.71,3646.68,4637.82,4950.0,4950.0,4950.0,4950.0,4355.86,3263.49,1785.87,405.287,75.1666,-0.0404,-0.0404,-0.0404,-0.0404,-0.0404,-0.0404,-0.0404,-0.0404,-0.0404,-0.0404,81.0736,791.417,2326.07,3631.35,4654.55,4950.0,4950.0,4950.0,4950.0,4342.07,3253.39,1773.39,399.067,81.689,-0.0404,-0.0404,-0.0404,-0.0404,-0.0404,-0.0404,-0.0404,-0.0404,-0.0404,-0.0404,88.0988,796.251,2324.87,3627.18,4605.13,4950.0,4950.0,4950.0,4909.44,4160.13,3124.54,1723.41,405.539,84.8037,-0.0404,-0.0404,-0.0404,-0.0404,-0.0404,-0.0404,-0.0404,-0.0404,-0.0404,-0.0404,91.9672,786.895,2275.05,3544.15,4485.21,4950.0,4950.0,4950.0,4856.31,4115.57,3080.54,1701.81,401.049,87.7017,-0.0404,-0.0404,-0.0404,-0.0404,-0.0404,-0.0404,-0.0404,-0.0404,-0.0404,-0.0404,98.5693,796.818,2280.91,3567.62,4541.93,4950.0,4950.0,4950.0,4940.07,4187.57,3121.22,1708.59,390.022,91.9272,-0.0404,-0.0404,-0.0404,-0.0404,-0.0404,-0.0404,-0.0404,-0.0404,-0.0404,-0.0404,100.559,803.182,2280.4,3549.14,4516.65,4950.0,4950.0,4950.0,4892.06,4113.14,3070.7,1673.32,393.68,98.3024,-0.0404,-0.0404,-0.0404,-0.0404,-0.0404,-0.0404,-0.0404,-0.0404,-0.0404,-0.0404,109.303,787.958,2230.9,3461.27,4318.35,4892.53,4950.0,4950.0,4677.71,3979.64,2980.49,1503.3,497.669,88.7861,-0.0404,-0.0404,-0.0404,-0.0404,-0.0404,-0.0404,-0.0404,-0.0404,-0.0404,-0.0404,114.048,790.696,2219.54,3505.02,4452.78,4950.0,4950.0,4950.0,4876.15,4079.62,3044.07,1654.33,428.899,111.711,-0.0404,-0.0404,-0.0404,-0.0404,-0.0404,-0.0404,-0.0404,-0.0404,-0.0404,-0.0404,100.32,477.426,1943.85,3280.55,3384.86,4318.73,4288.8,4520.18,4950.0,4251.59,3151.7,1391.6,507.805,146.648,-0.0404,-0.0404,-0.0404,-0.0404,-0.0404,-0.0404,-0.0404,-0.0404,-0.0404,-0.0404,86.5863,16.6013,161.594,1377.23,1177.4,1403.06,1040.57,2761.85,129.27,2833.19,3034.85,1585.95,33.9103,44.7633,-0.0404,-0.0404,-0.0404,-0.0404,-0.0404,-0.0404,-0.0404,-0.0404,-0.0404,-0.0404,56.1618,838.927,1473.79,2576.61,2563.27,4559.11,3652.28,4517.34,3386.72,3007.04,2023.63,905.208,472.297,83.8876,-0.0404,-0.0404,-0.0404,-0.0404,-0.0404,-0.0404,-0.0404,-0.0404,-0.0404,-0.0404,69.6563,832.273,2138.57,2925.61,4542.48,4617.19,4915.39,4745.35,4911.31,3143.05,2583.29,1396.99,625.735,28.7497,-0.0404,-0.0404,-0.0404,-0.0404,-0.0404,-0.0404,-0.0404,-0.0404,-0.0404,-0.0404,96.1898,20.879,1023.37,2254.62,1378.89,2170.4,3469.61,4447.34,3968.41,1338.21,1607.99,1288.18,41.7848,47.3592,-0.0404,-0.0404,-0.0404,-0.0404,-0.0404,-0.0404,-0.0404,-0.0404,-0.0404,-0.0404,110.314,815.673,2117.4,3353.11,4322.72,4950.0,3953.63,4862.69,4425.37,3401.94,2465.67,1473.82,593.911,69.9415,-0.0404,-0.0404,-0.0404,-0.0404,-0.0404,-0.0404,-0.0404,-0.0404,-0.0404,-0.0404,165.221,832.993,2073.29,2493.1,2982.02,1047.22,3306.02,4081.67,3717.46,516.136,2067.79,690.77,537.856,161.179,-0.0404,-0.0404,-0.0404,-0.0404,-0.0404,-0.0404,-0.0404,-0.0404,-0.0404,-0.0404,12.4411,21.698,533.364,342.549,295.458,283.883,1868.72,2545.05,3210.96,2750.88,1540.4,179.566,263.075,17.3333,-0.0404,-0.0404,-0.0404,-0.0404,-0.0404,-0.0404,-0.0404,-0.0404,-0.0404,-0.0404,108.501,230.555,1259.11,1666.68,940.453,3100.76,1739.02,2990.53,3288.21,2671.07,2161.56,386.474,501.79,194.165,-0.0404,-0.0404,-0.0404,-0.0404,-0.0404,-0.0404,-0.0404,-0.0404,-0.0404,-0.0404,12.2858,501.848,986.198,2546.52,1935.12,2506.41,4044.02,541.529,705.584,1245.22,681.032,237.372,38.4372,24.1296,-0.0404,-0.0404,-0.0404,-0.0404,-0.0404,-0.0404,-0.0404,-0.0404,-0.0404,-0.0404,12.2065,401.207,1630.65,2130.22,4363.11,4238.9,4085.97,3476.67,993.408,1044.11,949.665,939.992,393.389,31.6449,-0.0404,-0.0404,-0.0404,-0.0404,-0.0404,-0.0404,-0.0404,-0.0404,-0.0404,-0.0404,183.034,774.244,1766.64,3570.43,4504.2,4950.0,4950.0,4950.0,4854.24,4106.52,3089.67,1699.48,426.317,212.899,-0.0404,-0.0404,-0.0404,-0.0404,-0.0404,-0.0404,-0.0404,-0.0404,-0.0404,-0.0404,172.745,878.209,2338.22,3588.5,4513.31,4950.0,4921.56,4950.0,4775.68,4038.91,3025.3,1668.6,512.141,212.743,-0.0404,-0.0404,-0.0404,-0.0404,-0.0404,-0.0404,-0.0404,-0.0404,-0.0404,-0.0404,83.6771,887.936,2039.81,2939.6,3639.07,4338.12,4724.17,4618.93,4104.21,3976.69,2972.89,1625.42,394.479,190.149,-0.0404,-0.0404,-0.0404,-0.0404,-0.0404,-0.0404,-0.0404,-0.0404,-0.0404,-0.0404,164.922,857.412,2276.23,3237.42,4106.75,4950.0,4950.0,4950.0,4722.08,3965.76,2946.54,1617.73,490.785,202.044,-0.0404,-0.0404,-0.0404,-0.0404,-0.0404,-0.0404,-0.0404,-0.0404,-0.0404,-0.0404,212.271,863.643,1505.16,2121.34,2318.33,3324.23,4725.56,4398.09,3626.58,3813.94,2839.74,1420.87,472.663,216.107,-0.0404,-0.0404,-0.0404,-0.0404,-0.0404,-0.0404,-0.0404,-0.0404,-0.0404,-0.0404,212.782,893.184,1529.7,3290.62,3642.51,4754.22,4950.0,4932.91,3075.86,2826.53,2841.42,630.72,19.7388,212.461,-0.0404,-0.0404,-0.0404,-0.0404,-0.0404,-0.0404,-0.0404,-0.0404,-0.0404,-0.0404,147.032,835.288,1648.73,2779.39,3415.08,3445.26,4536.23,3749.55,4192.78,3984.16,2333.23,464.146,528.723,73.4745,-0.0404,-0.0404,-0.0404,-0.0404,-0.0404,-0.0404,-0.0404,-0.0404,-0.0404,-0.0404,25.1116,20.8414,1058.11,2467.24,2693.11,4167.89,3862.25,3378.03,2320.17,872.661,2944.61,1663.28,517.194,249.962,-0.0404,-0.0404,-0.0404,-0.0404,-0.0404,-0.0404,-0.0404,-0.0404,-0.0404,-0.0404,277.025,379.701,1332.84,2496.16,3687.69,4446.14,4549.86,4578.97,4025.74,2832.89,1916.43,1423.34,435.902,29.5422,-0.0404,-0.0404,-0.0404,-0.0404,-0.0404,-0.0404,-0.0404,-0.0404,-0.0404,-0.0404,241.273,603.352,999.251,2087.24,2357.94,2772.42,1858.77,3253.38,4517.1,3062.36,2892.29,767.768,431.828,114.925,-0.0404,-0.0404,-0.0404,-0.0404,-0.0404,-0.0404,-0.0404,-0.0404,-0.0404,-0.0404,219.823,897.478,2031.09,2720.24,4140.23,4460.2,3903.06,2491.79,3409.44,2827.45,74.4564,464.47,573.104,104.654,-0.0404,-0.0404,-0.0404,-0.0404,-0.0404,-0.0404,-0.0404,-0.0404,-0.0404,-0.0404,20.6842,144.016,1609.81,2167.78,3139.23,3433.32,3513.2,3478.15,1081.68,978.169,436.326,1047.59,95.324,97.2585,-0.0404,-0.0404,-0.0404,-0.0404,-0.0404,-0.0404,-0.0404,-0.0404,-0.0404,-0.0404,184.386,55.4872,37.1335,2469.63,3345.58,4631.51,3965.75,3510.9,1189.38,3178.98,2340.76,1360.48,739.314,276.612,-0.0404,-0.0404,-0.0404,-0.0404,-0.0404,-0.0404,-0.0404,-0.0404,-0.0404,-0.0404,232.502,902.357,1844.5,3423.31,3248.1,3447.58,1092.22,4175.95,4048.89,1659.89,2308.98,1537.46,454.097,254.87,-0.0404,-0.0404,-0.0404,-0.0404,-0.0404,-0.0404,-0.0404,-0.0404,-0.0404,-0.0404,217.748,862.273,2238.99,3438.06,4335.7,4932.4,4950.0,4950.0,3655.09,3015.14,2982.33,1653.74,472.382,296.753,-0.0404,-0.0404,-0.0404,-0.0404,-0.0404,-0.0404,-0.0404,-0.0404,-0.0404,-0.0404,196.245,915.831,1875.51,3357.96,3984.0,4253.13,3852.5,4876.88,4464.77,3783.44,2865.08,1619.85,485.983,288.465,-0.0404,-0.0404,-0.0404,-0.0404,-0.0404,-0.0404,-0.0404,-0.0404,-0.0404,-0.0404,231.32,847.037,1984.32,3194.94,4021.46,4530.8,4799.21,4754.92,4424.46,3712.04,2764.55,1585.6,617.794,269.151,-0.0404,-0.0404,-0.0404,-0.0404,-0.0404,-0.0404,-0.0404,-0.0404,-0.0404,-0.0404,252.576,940.587,1896.69,2969.81,3885.5,4522.12,4910.96,4853.62,3484.63,3070.77,2796.8,1558.81,594.835,295.162,-0.0404,-0.0404,-0.0404,-0.0404,-0.0404,-0.0404,-0.0404,-0.0404,-0.0404,-0.0404,256.663,500.054,1931.92,2914.81,4025.75,3957.19,4928.33,4863.41,3754.87,3404.46,2085.46,1475.08,699.76,27.018,-0.0404,-0.0404,-0.0404,-0.0404,-0.0404,-0.0404,-0.0404,-0.0404,-0.0404,-0.0404,11.8875,423.149,1753.58,2868.93,3602.13,3269.96,3351.07,1671.3,1287.97,3100.25,2398.26,1406.24,569.511,14.9183,-0.0404,-0.0404,-0.0404,-0.0404,-0.0404,-0.0404,-0.0404,-0.0404,-0.0404,-0.0404,261.953,949.111,1768.78,2826.43,3494.87,4782.97,3496.89,311.025,2824.18,3351.29,2157.26,1340.44,547.299,321.238,-0.0404,-0.0404,-0.0404,-0.0404,-0.0404,-0.0404,-0.0404,-0.0404,-0.0404,-0.0404,240.723,886.716,1757.75,2910.06,4090.09,4666.7,4919.59,3464.64,1752.13,2923.0,1808.96,1560.79,705.943,83.0958,-0.0404,-0.0404,-0.0404,-0.0404,-0.0404,-0.0404,-0.0404,-0.0404,-0.0404,-0.0404,330.341,899.036,1968.73,3222.75,3865.9,3847.85,3578.39,3675.81,3498.97,3227.55,2568.82,1626.23,490.065,306.482,-0.0404,-0.0404,-0.0404,-0.0404,-0.0404,-0.0404,-0.0404,-0.0404,-0.0404,-0.0404,240.36,859.075,676.808,865.088,1314.91,874.366,4543.54,4156.19,1332.53,1843.67,2009.83,1393.14,720.514,159.935,-0.0404,-0.0404,-0.0404,-0.0404,-0.0404,-0.0404,-0.0404,-0.0404,-0.0404,-0.0404,235.303,825.851,2070.32,3210.98,3799.29,4050.04,3719.01,4145.99,3816.15,1791.56,712.19,49.2954,153.642,11.3996,-0.0404,-0.0404,-0.0404,-0.0404,-0.0404,-0.0404,-0.0404,-0.0404,-0.0404,-0.0404,12.0717,333.342,336.655,1471.31,2421.71,3393.19,2934.93,3220.87,2450.55,2853.22,2245.7,1423.61,727.898,70.595,-0.0404,-0.0404,-0.0404,-0.0404,-0.0404,-0.0404,-0.0404,-0.0404,-0.0404,-0.0404,227.389,809.548,2129.83,3287.78,4142.43,4726.93,4950.0,4930.5,4537.64,3848.68,2916.05,1642.32,498.335,315.626,-0.0404,-0.0404,-0.0404,-0.0404,-0.0404,-0.0404,-0.0404,-0.0404,-0.0404,-0.0404,235.197,807.315,2008.26,3107.94,3458.01,3961.44,4024.35,3874.28,3585.16,2800.54,2339.32,1365.62,408.924,193.485,-0.0404,-0.0404,-0.0404,-0.0404,-0.0404,-0.0404,-0.0404,-0.0404,-0.0404,-0.0404,11.9662,924.102,859.13,2072.88,1037.37,4053.09,4807.86,4776.35,3961.8,3834.53,2182.93,1448.32,707.679,338.849,-0.0404,-0.0404,-0.0404,-0.0404,-0.0404,-0.0404,-0.0404,-0.0404,-0.0404,-0.0404,234.682,910.311,1923.75,2711.58,2658.62,924.624,4950.0,4090.4,3779.84,2959.49,2442.75,1690.24,522.268,329.135,-0.0404,-0.0404,-0.0404,-0.0404,-0.0404,-0.0404,-0.0404,-0.0404,-0.0404,-0.0404,309.447,903.81,2088.5,3230.61,3100.82,3587.13,2144.38,3879.02,3177.52,1228.64,1338.34,1430.93,803.88,83.799,-0.0404,-0.0404,-0.0404,-0.0404,-0.0404,-0.0404,-0.0404,-0.0404,-0.0404,-0.0404,247.369,809.428,2061.57,3224.88,2883.09,3191.95,3344.98,3081.75,3389.86,3449.81,2512.9,1588.19,773.948,346.252,-0.0404,-0.0404,-0.0404,-0.0404,-0.0404,-0.0404,-0.0404,-0.0404,-0.0404,-0.0404,244.445,797.126,2081.35,3244.94,3888.39,4168.74,3416.98,3387.51,3082.42,2936.01,2194.91,912.317,455.618,61.268,-0.0404,-0.0404,-0.0404,-0.0404,-0.0404,-0.0404,-0.0404,-0.0404,-0.0404,-0.0404,12.0412,817.694,1715.64,2674.72,3113.32,4165.57,3846.07,4950.0,4022.45,3949.14,2992.48,1690.89,475.15,319.79,-0.0404,-0.0404,-0.0404,-0.0404,-0.0404,-0.0404,-0.0404,-0.0404,-0.0404,-0.0404,105.838,789.629,1849.94,2636.67,2683.97,2757.97,2400.85,4076.15,3782.06,3879.94,2953.22,1561.23,818.072,61.9976,-0.0404,-0.0404,-0.0404,-0.0404,-0.0404,-0.0404,-0.0404,-0.0404,-0.0404,-0.0404,258.832,808.373,2072.67,3277.1,4179.49,4799.81,4950.0,4950.0,3944.91,3072.28,3015.32,1726.4,483.08,321.311,-0.0404,-0.0404,-0.0404,-0.0404,-0.0404,-0.0404,-0.0404,-0.0404,-0.0404,-0.0404,222.546,791.755,2102.68,3278.51,4138.76,4716.88,3590.64,4312.64,3684.88,3068.27,2699.76,1634.06,806.591,70.2116,-0.0404,-0.0404,-0.0404,-0.0404,-0.0404,-0.0404,-0.0404,-0.0404,-0.0404,-0.0404,302.359,781.575,804.06,1484.95,1803.05,2300.39,2661.95,1145.28,1920.15,1591.71,385.45,556.988,33.3734,19.9714,-0.0404,-0.0404,-0.0404,-0.0404,-0.0404,-0.0404,-0.0404,-0.0404,-0.0404,-0.0404,16.4268,248.782,432.432,1908.44,1756.18,1696.52,2388.92,1095.44,531.888,3364.71,2455.11,1745.6,835.565,331.298,-0.0404,-0.0404,-0.0404,-0.0404,-0.0404,-0.0404,-0.0404,-0.0404,-0.0404,-0.0404,219.846,622.752,1307.04,1452.35,1375.08,405.701,623.916,380.961,1471.51,2389.09,2159.92,1536.44,419.124,20.1164,-0.0404,-0.0404,-0.0404,-0.0404,-0.0404,-0.0404,-0.0404,-0.0404,-0.0404,-0.0404,16.4821,304.985,1277.28,713.817,2327.82,1266.47,1286.09,1524.82,1918.4,1887.61,2128.09,1257.97,91.1709,19.9461,-0.0404,-0.0404,-0.0404,-0.0404,-0.0404,-0.0404,-0.0404,-0.0404,-0.0404,-0.0404,225.038,767.154,2047.5,3233.44,4104.49,4688.85,4914.82,4867.</t>
  </si>
  <si>
    <t>-0.0808,-0.0808,-0.0808,-0.0808,-0.0808,-0.0808,-0.0808,-0.0808,1011.75,7448.39,9568.55,9900.0,9900.0,7548.75,1709.26,4372.19,587.736,-0.0808,-0.0808,-0.0808,-0.0808,-0.0808,-0.0808,-0.0808,-0.0808,-0.0808,-0.0808,-0.0808,-0.0808,-0.0808,-0.0808,-0.0808,998.985,1995.25,9472.38,315.188,5516.14,1215.1,1914.64,2028.77,41.3435,-0.0808,-0.0808,-0.0808,-0.0808,-0.0808,-0.0808,-0.0808,-0.0808,-0.0808,-0.0808,-0.0808,-0.0808,-0.0808,-0.0808,-0.0808,72.403,1873.56,1342.37,9900.0,5631.08,9900.0,3461.92,1249.86,32.6763,-0.0808,-0.0808,-0.0808,-0.0808,-0.0808,-0.0808,-0.0808,-0.0808,-0.0808,-0.0808,-0.0808,-0.0808,-0.0808,-0.0808,-0.0808,4822.97,7899.29,9900.0,9900.0,9900.0,9900.0,8150.87,5184.32,1049.86,-0.0808,-0.0808,-0.0808,-0.0808,-0.0808,-0.0808,-0.0808,-0.0808,-0.0808,-0.0808,-0.0808,-0.0808,-0.0808,-0.0808,-0.0808,63.3597,1172.6,356.025,434.613,468.824,308.618,230.255,62.0875,85.8766,-0.0808,-0.0808,-0.0808,-0.0808,-0.0808,-0.0808,-0.0808,-0.0808,-0.0808,-0.0808,-0.0808,-0.0808,-0.0808,-0.0808,-0.0808,251.696,871.064,1442.05,2182.63,5793.45,1848.46,1060.99,506.597,79.0749,-0.0808,-0.0808,-0.0808,-0.0808,-0.0808,-0.0808,-0.0808,-0.0808,-0.0808,-0.0808,-0.0808,-0.0808,-0.0808,-0.0808,-0.0808,1278.64,8590.66,9900.0,4287.68,4738.62,9900.0,1709.46,641.767,279.586,-0.0808,-0.0808,-0.0808,-0.0808,-0.0808,-0.0808,-0.0808,-0.0808,-0.0808,-0.0808,-0.0808,-0.0808,-0.0808,-0.0808,-0.0808,388.537,1568.85,5473.43,2232.56,5843.89,1929.9,2562.4,597.896,163.735,-0.0808,-0.0808,-0.0808,-0.0808,-0.0808,-0.0808,-0.0808,-0.0808,-0.0808,-0.0808,-0.0808,-0.0808,-0.0808,-0.0808,-0.0808,5473.68,8952.26,9900.0,9900.0,9900.0,9900.0,9370.21,6023.65,1480.26,-0.0808,-0.0808,-0.0808,-0.0808,-0.0808,-0.0808,-0.0808,-0.0808,-0.0808,-0.0808,-0.0808,-0.0808,-0.0808,-0.0808,-0.0808,290.793,627.528,4953.71,5377.8,3288.83,9900.0,3303.33,5716.07,160.525,-0.0808,-0.0808,-0.0808,-0.0808,-0.0808,-0.0808,-0.0808,-0.0808,-0.0808,-0.0808,-0.0808,-0.0808,-0.0808,-0.0808,-0.0808,204.78,8360.02,2524.67,2588.95,1644.59,2382.23,3556.58,2726.85,49.5337,-0.0808,-0.0808,-0.0808,-0.0808,-0.0808,-0.0808,-0.0808,-0.0808,-0.0808,-0.0808,-0.0808,-0.0808,-0.0808,-0.0808,-0.0808,192.335,1570.36,7139.38,6220.71,1489.4,1570.31,763.56,358.395,137.342,-0.0808,-0.0808,-0.0808,-0.0808,-0.0808,-0.0808,-0.0808,-0.0808,-0.0808,-0.0808,-0.0808,-0.0808,-0.0808,-0.0808,-0.0808,250.595,1469.9,281.452,347.145,3506.05,1681.53,846.665,451.904,67.0562,-0.0808,-0.0808,-0.0808,-0.0808,-0.0808,-0.0808,-0.0808,-0.0808,-0.0808,-0.0808,-0.0808,-0.0808,-0.0808,-0.0808,-0.0808,205.342,2427.27,5262.62,893.58,834.696,2158.42,1484.69,475.28,41.3061,-0.0808,-0.0808,-0.0808,-0.0808,-0.0808,-0.0808,-0.0808,-0.0808,-0.0808,-0.0808,-0.0808,-0.0808,-0.0808,-0.0808,-0.0808,571.681,741.575,1573.71,1876.89,1563.82,1090.54,992.83,510.594,40.854,-0.0808,-0.0808,-0.0808,-0.0808,-0.0808,-0.0808,-0.0808,-0.0808,-0.0808,-0.0808,-0.0808,-0.0808,-0.0808,-0.0808,-0.0808,299.946,964.132,1855.94,2479.24,2784.92,8488.93,9297.24,6400.2,1799.33,-0.0808,-0.0808,-0.0808,-0.0808,-0.0808,-0.0808,-0.0808,-0.0808,-0.0808,-0.0808,-0.0808,-0.0808,-0.0808,-0.0808,-0.0808,111.403,1000.35,1915.58,1833.88,3921.4,2749.36,9065.55,6136.75,234.073,-0.0808,-0.0808,-0.0808,-0.0808,-0.0808,-0.0808,-0.0808,-0.0808,-0.0808,-0.0808,-0.0808,-0.0808,-0.0808,-0.0808,-0.0808,110.566,9034.61,9900.0,9900.0,9900.0,9900.0,9146.44,6264.8,89.5567,-0.0808,-0.0808,-0.0808,-0.0808,-0.0808,-0.0808,-0.0808,-0.0808,-0.0808,-0.0808,-0.0808,-0.0808,-0.0808,-0.0808,-0.0808,96.6407,208.475,924.846,3325.82,3364.17,1804.98,2647.57,6039.38,277.68,-0.0808,-0.0808,-0.0808,-0.0808,-0.0808,-0.0808,-0.0808,-0.0808,-0.0808,-0.0808,-0.0808,-0.0808,-0.0808,-0.0808,-0.0808,83.7549,1586.11,3933.64,9900.0,9900.0,9900.0,8733.66,1727.09,370.003,-0.0808,-0.0808,-0.0808,-0.0808,-0.0808,-0.0808,-0.0808,-0.0808,-0.0808,-0.0808,-0.0808,-0.0808,-0.0808,-0.0808,-0.0808,61.4341,519.624,1582.93,1733.37,1885.9,1862.88,1423.32,880.337,313.672,-0.0808,-0.0808,-0.0808,-0.0808,-0.0808,-0.0808,-0.0808,-0.0808,-0.0808,-0.0808,-0.0808,-0.0808,-0.0808,-0.0808,41.8533,976.081,2367.85,3020.29,3156.2,3289.21,2827.01,1790.07,949.28,262.843,-0.0808,-0.0808,-0.0808,-0.0808,-0.0808,-0.0808,-0.0808,-0.0808,-0.0808,-0.0808,-0.0808,-0.0808,-0.0808,-0.0808,33.0083,628.469,1557.47,2048.17,2883.81,7835.8,3981.87,1419.16,969.752,420.552,-0.0808,-0.0808,-0.0808,-0.0808,-0.0808,-0.0808,-0.0808,-0.0808,-0.0808,-0.0808,-0.0808,-0.0808,-0.0808,-0.0808,58.9063,866.24,1696.96,2425.16,3323.44,4018.05,2801.62,1530.42,858.33,291.746,-0.0808,-0.0808,-0.0808,-0.0808,-0.0808,-0.0808,-0.0808,-0.0808,-0.0808,-0.0808,-0.0808,-0.0808,-0.0808,-0.0808,46.4882,525.133,1087.51,1400.89,2737.69,1748.98,948.905,574.384,344.628,137.186,-0.0808,-0.0808,-0.0808,-0.0808,-0.0808,-0.0808,-0.0808,-0.0808,-0.0808,-0.0808,-0.0808,-0.0808,-0.0808,-0.0808,30.8724,410.395,895.901,1785.75,2583.42,2508.58,1502.18,677.391,332.083,121.31,-0.0808,-0.0808,-0.0808,-0.0808,-0.0808,-0.0808,-0.0808,-0.0808,-0.0808,-0.0808,-0.0808,-0.0808,-0.0808,-0.0808,40.0009,241.671,461.642,863.173,1407.96,1233.94,889.822,509.031,218.525,87.4893,-0.0808,-0.0808,-0.0808,-0.0808,-0.0808,-0.0808,-0.0808,-0.0808,-0.0808,-0.0808,-0.0808,-0.0808,-0.0808,-0.0808,85.004,1580.77,4436.26,3617.06,3442.62,5230.1,6893.71,8874.0,6277.64,2545.56,-0.0808,-0.0808,-0.0808,-0.0808,-0.0808,-0.0808,-0.0808,-0.0808,-0.0808,-0.0808,-0.0808,-0.0808,-0.0808,-0.0808,256.917,3619.85,6646.97,8847.7,9900.0,9900.0,9900.0,8991.5,4975.98,941.892,-0.0808,-0.0808,-0.0808,-0.0808,-0.0808,-0.0808,-0.0808,-0.0808,-0.0808,-0.0808,-0.0808,-0.0808,-0.0808,-0.0808,78.1003,304.294,280.241,358.768,448.48,426.186,468.39,461.978,372.446,175.57,-0.0808,-0.0808,-0.0808,-0.0808,-0.0808,-0.0808,-0.0808,-0.0808,-0.0808,-0.0808,-0.0808,-0.0808,-0.0808,-0.0808,51.9401,315.19,576.792,759.426,510.647,405.321,478.981,504.195,372.281,186.102,-0.0808,-0.0808,-0.0808,-0.0808,-0.0808,-0.0808,-0.0808,-0.0808,-0.0808,-0.0808,-0.0808,-0.0808,-0.0808,-0.0808,43.3826,305.114,632.553,829.188,855.646,821.909,813.533,583.854,439.603,169.649,-0.0808,-0.0808,-0.0808,-0.0808,-0.0808,-0.0808,-0.0808,-0.0808,-0.0808,-0.0808,-0.0808,-0.0808,-0.0808,-0.0808,148.501,2783.3,8683.55,9900.0,9900.0,9900.0,9900.0,9151.67,5753.0,1879.84,-0.0808,-0.0808,-0.0808,-0.0808,-0.0808,-0.0808,-0.0808,-0.0808,-0.0808,-0.0808,-0.0808,-0.0808,-0.0808,-0.0808,1470.58,5630.03,8508.65,9900.0,9900.0,9900.0,9900.0,8922.24,6415.97,2933.13,-0.0808,-0.0808,-0.0808,-0.0808,-0.0808,-0.0808,-0.0808,-0.0808,-0.0808,-0.0808,-0.0808,-0.0808,-0.0808,-0.0808,620.615,4706.35,7728.94,9485.98,6978.3,9900.0,6779.3,9009.54,6520.05,2949.87,-0.0808,-0.0808,-0.0808,-0.0808,-0.0808,-0.0808,-0.0808,-0.0808,-0.0808,-0.0808,-0.0808,-0.0808,-0.0808,-0.0808,26.0736,5697.26,8627.13,9900.0,9900.0,9900.0,9900.0,9069.45,6557.31,3044.67,-0.0808,-0.0808,-0.0808,-0.0808,-0.0808,-0.0808,-0.0808,-0.0808,-0.0808,-0.0808,-0.0808,-0.0808,-0.0808,-0.0808,26.2241,136.624,675.953,2285.99,180.422,319.285,451.9,2014.02,2965.44,130.123,-0.0808,-0.0808,-0.0808,-0.0808,-0.0808,-0.0808,-0.0808,-0.0808,-0.0808,-0.0808,-0.0808,-0.0808,-0.0808,-0.0808,26.417,86.783,176.381,389.074,314.337,633.205,3625.79,2266.29,134.905,54.2882,-0.0808,-0.0808,-0.0808,-0.0808,-0.0808,-0.0808,-0.0808,-0.0808,-0.0808,-0.0808,-0.0808,-0.0808,-0.0808,-0.0808,26.3712,86.3792,1809.17,949.147,334.852,2506.16,2180.88,2568.36,637.101,35.6816,-0.0808,-0.0808,-0.0808,-0.0808,-0.0808,-0.0808,-0.0808,-0.0808,-0.0808,-0.0808,-0.0808,-0.0808,-0.0808,-0.0808,36.0433,67.0305,1300.18,600.455,3634.46,2353.66,3292.3,2238.27,748.201,213.233,-0.0808,-0.0808,-0.0808,-0.0808,-0.0808,-0.0808,-0.0808,-0.0808,-0.0808,-0.0808,-0.0808,-0.0808,-0.0808,-0.0808,36.2245,87.0601,186.881,693.637,1530.28,2403.92,1736.29,1394.96,3890.81,274.625,-0.0808,-0.0808,-0.0808,-0.0808,-0.0808,-0.0808,-0.0808,-0.0808,-0.0808,-0.0808,-0.0808,-0.0808,-0.0808,-0.0808,84.8985,5980.79,4316.94,9139.25,7513.96,9900.0,7200.2,5162.5,3213.35,362.73,-0.0808,-0.0808,-0.0808,-0.0808,-0.0808,-0.0808,-0.0808,-0.0808,-0.0808,-0.0808,-0.0808,-0.0808,-0.0808,-0.0808,36.4519,3698.85,8993.41,6473.92,9900.0,7677.56,2188.83,2436.73,735.187,502.203,-0.0808,-0.0808,-0.0808,-0.0808,-0.0808,-0.0808,-0.0808,-0.0808,-0.0808,-0.0808,-0.0808,-0.0808,-0.0808,-0.0808,36.3724,56.8708,1754.47,5199.85,3169.27,2636.12,3764.38,1588.39,195.342,183.156,-0.0808,-0.0808,-0.0808,-0.0808,-0.0808,-0.0808,-0.0808,-0.0808,-0.0808,-0.0808,-0.0808,-0.0808,-0.0808,-0.0808,36.4299,56.9675,681.577,2067.19,3319.19,3851.53,3377.46,645.931,76.4118,46.2139,-0.0808,-0.0808,-0.0808,-0.0808,-0.0808,-0.0808,-0.0808,-0.0808,-0.0808,-0.0808,-0.0808,-0.0808,-0.0808,-0.0808,46.5957,159.178,343.208,1148.12,2622.02,4395.54,4151.95,5248.02,3066.03,267.792,-0.0808,-0.0808,-0.0808,-0.0808,-0.0808,-0.0808,-0.0808,-0.0808,-0.0808,-0.0808,-0.0808,-0.0808,-0.0808,-0.0808,66.1637,107.491,3504.37,6420.34,7127.02,3963.94,1788.68,2082.85,1915.63,75.6434,-0.0808,-0.0808,-0.0808,-0.0808,-0.0808,-0.0808,-0.0808,-0.0808,-0.0808,-0.0808,-0.0808,-0.0808,-0.0808,-0.0808,1799.33,5387.1,8056.74,9808.16,9900.0,9900.0,9900.0,8597.32,6304.46,3063.45,-0.0808,-0.0808,-0.0808,-0.0808,-0.0808,-0.0808,-0.0808,-0.0808,-0.0808,-0.0808,-0.0808,-0.0808,-0.0808,-0.0808,1554.38,5194.87,7921.06,9790.04,9900.0,9900.0,9900.0,8920.77,6619.75,3376.15,-0.0808,-0.0808,-0.0808,-0.0808,-0.0808,-0.0808,-0.0808,-0.0808,-0.0808,-0.0808,-0.0808,-0.0808,-0.0808,-0.0808,2186.53,5779.23,8446.4,9900.0,7127.56,6823.16,3548.07,3200.34,2099.2,437.425,-0.0808,-0.0808,-0.0808,-0.0808,-0.0808,-0.0808,-0.0808,-0.0808,-0.0808,-0.0808,-0.0808,-0.0808,-0.0808,-0.0808,2210.53,5854.66,8545.31,9900.0,9900.0,9900.0,9900.0,8958.17,6558.66,3396.59,29.1126,-0.0808,-0.0808,-0.0808,-0.0808,-0.0808,-0.0808,-0.0808,-0.0808,-0.0808,-0.0808,-0.0808,-0.0808,-0.0808,2210.48,5788.13,8369.2,9900.0,9900.0,9900.0,9900.0,5077.0,6174.93,703.156,60.3142,-0.0808,-0.0808,-0.0808,-0.0808,-0.0808,-0.0808,-0.0808,-0.0808,-0.0808,-0.0808,-0.0808,-0.0808,-0.0808,1657.84,5048.31,7968.33,9900.0,5310.17,4165.42,3657.34,3687.92,3002.77,738.439,37.0409,-0.0808,-0.0808,-0.0808,-0.0808,-0.0808,-0.0808,-0.0808,-0.0808,-0.0808,-0.0808,-0.0808,-0.0808,-0.0808,164.026,231.745,171.817,1115.06,281.542,356.802,1375.64,504.728,1503.61,805.954,29.4229,-0.0808,-0.0808,-0.0808,-0.0808,-0.0808,-0.0808,-0.0808,-0.0808,-0.0808,-0.0808,-0.0808,-0.0808,-0.0808,34.3216,98.7042,171.661,301.155,1989.54,2196.57,2044.85,215.82,400.816,33.8111,29.3205,-0.0808,-0.0808,-0.0808,-0.0808,-0.0808,-0.0808,-0.0808,-0.0808,-0.0808,-0.0808,-0.0808,-0.0808,-0.0808,2086.59,1696.06,3580.77,4341.59,2181.0,5727.36,6014.65,5010.48,6010.94,2960.21,100.285,-0.0808,-0.0808,-0.0808,-0.0808,-0.0808,-0.0808,-0.0808,-0.0808,-0.0808,-0.0808,-0.0808,-0.0808,-0.0808,34.1823,596.028,5870.82,9317.87,8708.35,8542.7,9653.01,5156.15,2880.82,505.942,67.9908,-0.0808,-0.0808,-0.0808,-0.0808,-0.0808,-0.0808,-0.0808,-0.0808,-0.0808,-0.0808,-0.0808,-0.0808,-0.0808,37.6323,639.272,4406.82,4006.46,5261.28,3661.03,3166.86,1527.25,107.235,390.523,56.1589,-0.0808,-0.0808,-0.0808,-0.0808,-0.0808,-0.0808,-0.0808,-0.0808,-0.0808,-0.0808,-0.0808,-0.0808,-0.0808,38.138,1788.19,3754.71,2701.9,1229.71,6516.37,3290.71,3383.62,2977.29,1423.94,116.645,-0.0808,-0.0808,-0.0808,-0.0808,-0.0808,-0.0808,-0.0808,-0.0808,-0.0808,-0.0808,-0.0808,-0.0808,-0.0808,24.9714,2212.15,7572.07,9349.09,9900.0,7164.69,4433.07,4878.86,2566.66,67.7479,21.1512,-0.0808,-0.0808,-0.0808,-0.0808,-0.0808,-0.0808,-0.0808,-0.0808,-0.0808,-0.0808,-0.0808,-0.0808,-0.0808,42.5666,105.094,1332.91,1370.01,2260.88,5384.96,5797.23,4622.11,2988.89,68.7664,51.6746,-0.0808,-0.0808,-0.0808,-0.0808,-0.0808,-0.0808,-0.0808,-0.0808,-0.0808,-0.0808,-0.0808,-0.0808,-0.0808,1537.74,1974.23,4297.14,9006.27,6087.33,6127.37,5122.32,925.677,661.497,598.921,90.4198,-0.0808,-0.0808,-0.0808,-0.0808,-0.0808,-0.0808,-0.0808,-0.0808,-0.0808,-0.0808,-0.0808,-0.0808,-0.0808,3085.4,6652.03,4594.72,5514.92,7614.84,6179.13,7101.96,9378.98,3412.51,1657.7,253.975,-0.0808,-0.0808,-0.0808,-0.0808,-0.0808,-0.0808,-0.0808,-0.0808,-0.0808,-0.0808,-0.0808,-0.0808,-0.0808,3264.77,6830.13,9327.72,9900.0,9900.0,9900.0,9900.0,9388.72,7076.19,3972.37,537.189,-0.0808,-0.0808,-0.0808,-0.0808,-0.0808,-0.0808,-0.0808,-0.0808,-0.0808,-0.0808,-0.0808,-0.0808,-0.0808,3333.45,3329.4,9167.83,9900.0,9900.0,9900.0,8763.3,9207.95,4296.65,3773.8,322.555,-0.0808,-0.0808,-0.0808,-0.0808,-0.0808,-0.0808,-0.0808,-0.0808,-0.0808,-0.0808,-0.0808,-0.0808,-0.0808,325.049,2305.81,6647.84,9071.08,9302.76,9727.56,8224.65,4656.6,2519.04,3748.98,353.607,-0.0808,-0.0808,-0.0808,-0.0808,-0.0808,-0.0808,-0.0808,-0.0808,-0.0808,-0.0808,-0.0808,-0.0808,-0.0808,531.899,3304.65,2504.21,8293.55,8927.54,9490.28,8416.13,5336.83,4227.5,2323.88,140.818,-0.0808,-0.0808,-0.0808,-0.0808,-0.0808,-0.0808,-0.0808,-0.0808,-0.0808,-0.0808,-0.0808,-0.0808,-0.0808,24.9004,1123.15,3271.12,6974.71,5899.83,4715.06,6877.42,2555.2,1325.04,411.718,84.8087,-0.0808,-0.0808,-0.0808,-0.0808,-0.0808,-0.0808,-0.0808,-0.0808,-0.0808,-0.0808,-0.0808,-0.0808,-0.0808,33.7904,114.163,343.578,1684.49,2548.9,4482.67,3150.58,794.738,2217.7,872.633,48.7423,-0.0808,-0.0808,-0.0808,-0.0808,-0.0808,-0.0808,-0.0808,-0.0808,-0.0808,-0.0808,-0.0808,-0.0808,13.5215,2451.86,4094.29,5785.64,7211.03,6862.07,5004.57,5169.6,4652.24,2793.17,33.1825,78.2731,-0.0808,-0.0808,-0.0808,-0.0808,-0.0808,-0.0808,-0.0808,-0.0808,-0.0808,-0.0808,-0.0808,-0.0808,-0.0808,33.9629,60.057,194.806,692.999,1732.68,4244.2,2526.36,3192.1,95.8749,105.857,41.9386,-0.0808,-0.0808,-0.0808,-0.0808,-0.0808,-0.0808,-0.0808,-0.0808,-0.0808,-0.0808,-0.0808,-0.0808,14.3634,61.21,783.186,1918.4,3224.86,518.397,6615.57,1856.54,2658.4,501.989,342.992,64.1791,-0.0808,-0.0808,-0.0808,-0.0808,-0.0808,-0.0808,-0.0808,-0.0808,-0.0808,-0.0808,-0.0808,-0.0808,26.774,72.2392,436.594,1175.32,3664.46,5771.34,3132.04,8401.69,2568.99,1104.99,180.04,168.196,-0.0808,-0.0808,-0.0808,-0.0808,-0.0808,-0.0808,-0.0808,-0.0808,-0.0808,-0.0808,-0.0808,-0.0808,18.129,116.011,790.039,1027.35,3086.56,2695.95,3296.05,3243.1,4414.22,2939.13,679.705,183.012,-0.0808,-0.0808,-0.0808,-0.0808,-0.0808,-0.0808,-0.0808,-0.0808,-0.0808,-0.0808,-0.0808,-0.0808,28.0988,115.697,2594.75,5985.54,7802.7,6697.03,6420.3,3091.9,6484.19,2425.95,178.52,412.928,-0.0808,-0.0808,-0.0808,-0.0808,-0.0808,-0.0808,-0.0808,-0.0808,-0.0808,-0.0808,-0.0808,-0.0808,28.4354,127.293,3487.4,4784.16,2963.74,4817.71,4684.65,5254.31,3179.86,6031.39,3515.87,334.106,-0.0808,-0.0808,-0.0808,-0.0808,-0.0808,-0.0808,-0.0808,-0.0808,-0.0808,-0.0808,-0.0808,-0.0808,59.6245,3854.41,5767.3,5749.48,7618.53,5877.54,8205.92,9900.0,2945.82,3948.84,3968.05,746.058,-0.0808,-0.0808,-0.0808,-0.0808,-0.0808,-0.0808,-0.0808,-0.0808,-0.0808,-0.0808,-0.0808,-0.0808,42.2007,2279.97,4955.29,6237.01,8771.17,9900.0,7859.88,5708.02,2906.91,1516.57,191.413,124.519,-0.0808,-0.0808,-0.0808,-0.0808,-0.0808,-0.0808,-0.0808,-0.0808,-0.0808,-0.0808,-0.0808,-0.0808,24.5354,3933.31,4080.49,7771.58,7411.6,9900.0,9842.87,8859.67,6231.39,3955.88,2338.27,223.154,-0.0808,-0.0808,-0.0808,-0.0808,-0.0808,-0.0808,-0.0808,-0.0808,-0.0808,-0.0808,-0.0808,-0.0808,131.795,107.192,4346.21,5768.47,4918.18,2525.77,4962.02,3274.13,3338.98,3473.38,2320.02,307.292,-0.0808,-0.0808,-0.0808,-0.0808,-0.0808,-0.0808,-0.0808,-0.0808,-0.0808,-0.0808,-0.0808,-0.0808,150.446,4048.18,7178.4,9600.66,9900.0,9900.0,9900.0,9900.0,9345.34,7003.56,3926.96,773.395,-0.0808,-0.0808,-0.0808,-0.0808,-0.0808,-0.0808,-0.0808,-0.0808,-0.0808,-0.0808,-0.0808,-0.0808,162.231,3893.73,7050.79,9438.19,9900.0,9900.0,9900.0,9900.0,9149.61,6868.67,3798.8,768.483,-0.0808,-0.0808,-0.0808,-0.0808,-0.0808,-0.0808,-0.0808,-0.0808,-0.0808,-0.0808,-0.0808,-0.0808,199.883,4084.9,7205.03,9517.91,9900.0,9900.0,9900.0,9900.0,9132.41,6840.04,3829.62,766.075,-0.0808,-0.0808,-0.0808,-0.0808,-0.0808,-0.0808,-0.0808,-0.0808,-0.0808,-0.0808,-0.0808,-0.0808,215.955,3987.34,6891.74,9022.5,9900.0,9900.0,9900.0,9900.0,8960.46,5078.46,2319.42,701.445,-0.0808,-0.0808,-0.0808,-0.0808,-0.0808,-0.0808,-0.0808,-0.0808,-0.0808,-0.0808,-0.0808,-0.0808,206.635,3750.2,6739.94,8946.48,9900.0,9900.0,8600.94,6856.14,6170.49,6511.21,2536.86,143.735,-0.0808,-0.0808,-0.0808,-0.0808,-0.0808,-0.0808,-0.0808,-0.0808,-0.0808,-0.0808,-0.0808,-0.0808,24.6072,1336.45,3448.8,5349.72,4328.2,5286.55,5389.06,3172.89,3161.93,4084.84,2127.26,147.192,-0.0808,-0.0808,-0.0808,-0.0808,-0.0808,-0.0808,-0.0808,-0.0808,-0.0808,-0.0808,-0.0808,-0.0808,250.755,4222.01,7293.25,6436.65,9900.0,9900.0,9900.0,9900.0,9253.74,6941.82,3876.52,799.848,-0.0808,-0.0808,-0.0808,-0.0808,-0.0808,-0.0808,-0.0808,-0.0808,-0.0808,-0.0808,-0.0808,-0.0808,955.908,4247.78,7238.28,9517.9,9900.0,9900.0,9900.0,9900.0,9078.14,6805.83,3807.47,785.154,-0.0808,-0.0808,-0.0808,-0.0808,-0.0808,-0.0808,-0.0808,-0.0808,-0.0808,-0.0808,-0.0808,-0.0808,909.779,3957.02,6741.8,8837.03,9900.0,9900.0,8272.46,2143.15,2351.8,3867.84,2221.28,118.402,-0.0808,-0.0808,-0.0808,-0.0808,-0.0808,-0.0808,-0.0808,-0.0808,-0.0808,-0.0808,-0.0808,-0.0808,24.9252,1364.87,3383.34,5117.66,1119.69,2325.8,5082.5,5559.93,5973.14,4875.88,2327.05,164.383,-0.0808,-0.0808,-0.0808,-0.0808,-0.0808,-0.0808,-0.0808,-0.0808,-0.0808,-0.0808,-0.0808,-0.0808,518.597,2287.22,3443.44,7239.01,6834.11,8483.98,5649.68,5652.92,6395.03,4818.08,1358.03,48.5418,-0.0808,-0.0808,-0.0808,-0.0808,-0.0808,-0.0808,-0.0808,-0.0808,-0.0808,-0.0808,-0.0808,-0.0808,799.022,3602.91,6648.25,9009.53,9900.0,7478.56,9900.0,9900.0,8956.31,6648.99,3645.26,841.291,-0.0808,-0.0808,-0.0808,-0.0808,-0.0808,-0.0808,-0.0808,-0.0808,-0.0808,-0.0808,-0.0808,-0.0808,389.271,1856.96,4275.9,2437.74,2836.41,3130.55,4244.31,2836.35,2407.1,1095.3,158.63,32.383,-0.0808,-0.0808,-0.0808,-0.0808,-0.0808,-0.0808,-0.0808,-0.0808,-0.0808,-0.0808,-0.0808,-0.0808,33.8121,956.083,1122.23,2906.69,5827.62,3985.7,2148.35,2690.1,2546.88,2450.58,1708.46,185.117,-0.0808,-0.0808,-0.0808,-0.0808,-0.0808,-0.0808,-0.0808,-0.0808,-0.0808,-0.0808,-0.0808,-0.0808,899.747,3611.24,6497.88,8744.67,9900.0,9900.0,9900.0,9878.58,8382.47,6171.94,2994.43,893.187,-0.0808,-0.0808,-0.0808,-0.0808,-0.0808,-0.0808,-0.0808,-0.0808,-0.0808,-0.0808,-0.0808,-0.0808,734.711,2464.43,6553.21,8770.73,9900.0,9900.0,9900.0,9444.85,8448.47,6028.93,2852.83,830.675,-0.0808,-0.0808,-0.0808,-0.0808,-0.0808,-0.0808,-0.0808,-0.0808,-0.0808,-0.0808,-0.0808,-0.0808,589.176,2037.23,6116.55,8344.37,9900.0,8353.25,8060.72,6674.29,4057.58,977.783,642.555,811.72,-0.0808,-0.0808,-0.0808,-0.0808,-0.0808,-0.0808,-0.0808,-0.0808,-0.0808,-0.0808,-0.0808,-0.0808,24.9017,1916.22,4098.86,2501.38,3718.96,3731.0,2254.79,8162.01,1746.64,4770.69,1851.32,32.945,-0.0808,-0.0808,-0.0808,-0.0808,-0.0808,-0.0808,-0.0808,-0.0808,-0.0808,-0.0808,-0.0808,-0.0808,25.5993,833.286,3260.43,5692.77,7739.52,9382.68,8559.78,5037.46,5138.93,3910.02,2842.04,50.7408,-0.0808,-0.0808,-0.0808,-0.0808,-0.0808,-0.0808,-0.0808,-0.0808,-0.0808,-0.0808,-0.0808,-0.0808,43.5052,201.659,1209.98,1968.12,3759.26,7670.48,9900.0,9900.0,5782.08,3742.33,3672.09,886.199,-0.0808,-0.0808,-0.0808,-0.0808,-0.0808,-0.0808,-0.0808,-0.0808,-0.0808,-0.0808,-0.0808,-0.0808,126.681,1998.24,3850.16,5124.2,6873.71,7587.55,7962.41,7502.03,6225.12,5262.48,2815.53,586.505,-0.0808,-0.0808,-0.0808,-0.0808,-0.0808,-0.0808,-0.0808,-0.0808,-0.0808,-0.0808,-0.0808,-0.0808,1345.75,4479.88,7363.19,9523.45,9900.0,9900.0,9900.0,9900.0,8995.73,6721.92,3710.66,806.101,-0.0808,-0.0808,-0.0808,-0.0808,-0.0808,-0.0808,-0.0808,-0.0808,-0.0808,-0.0808,-0.0808,-0.0808,643.113,3682.24,5524.89,9283.24,9900.0,9900.0,9312.05,9900.0,8682.65,6485.95,3557.28,827.96,-0.0808,-0.0808,-0.0808,-0.0808,-0.0808,-0.0808,-0.0808,-0.0808,-0.0808,-0.0808,-0.0808,-0.0808,1314.62,4249.93,6951.23,9037.62,9900.0,9900.0,8267.55,8570.96,6689.65,508.045,204.405,32.8745,-0.0808,-0.0808,-0.0808,-0.0808,-0.0808,-0.0808,-0.0808,-0.0808,-0.0808,-0.0808,-0.0808,-0.0808,34.4953,1490.25,778.387,2281.79,2186.08,1339.3,4051.93,3640.11,4386.26,5172.55,97.1825,33.6601,-0.0808,-0.0808,-0.0808,-0.0808,-0.0808,-0.0808,-0.0808,-0.0808,-0.0808,-0.0808,-0.0808,-0.0808,316.356,1636.31,609.385,4279.99,4130.46,2559.74,2416.48,3053.7,2688.94,806.257,1393.55,225.586,-0.0808,-0.0808,-0.0808,-0.0808,-0.0808,-0.0808,-0.0808,-0.0808,-0.0808,-0.0808,-0.0808,-0.0808,407.397,924.807,2051.64,2937.62,2142.05,3259.27,4741.7,4436.9,2908.72,1779.23,1132.33,263.745,-0.0808,-0.0808,-0.0808,-0.0808,-0.0808,-0.0808,-0.0808,-0.0808,-0.0808,-0.0808,-0.0808,13.6613,52.6339,578.476,1471.93,1956.05,2587.04,3146.15,3326.83,4971.16,2017.89,1493.17,814.679,301.588,59.5634,-0.0808,-0.0808,-0.0808,-0.0808,-0.0808,-0.0808,-0.0808,-0.0808,-0.0808,-0.0808,83.6499,1462.1,4456.92,7197.94,9218.71,9900.0,5998.34,5539.84,3643.82,5907.81,2590.42,985.589,798.746,137.446,-0.0808,-0.0808,-0.0808,-0.0808,-0.0808,-0.0808,-0.0808,-0.0808,-0.0808,-0.0808,28.8008,182.437,3393.78,3865.08,9222.76,9655.17,9900.0,7911.36,4110.9,4159.0,4197.92,335.677,1139.49,36.2465,-0.0808,-0.0808,-0.0808,-0.0808,-0.0808,-0.0808,-0.0808,-0.0808,-0.0808,-0.0808,30.0799,651.879,2741.85,5379.64,9054.99,6001.77,5463.06,3014.76,1554.71,4433.02,4068.39,3092.81,769.638,44.123,-0.0808,-0.0808,-0.0808,-0.0808,-0.0808,-0.0808,-0.0808,-0.0808,-0.0808,-0.0808,63.3653,1340.31,2249.45,4242.86,6683.35,6631.45,8513.3,4798.28,8019.47,5409.46,3784.82,2994.21,187.273,28.78,-0.0808,-0.0808,-0.0808,-0.0808,-0.0808,-0.0808,-0.0808,-0.0808,-0.0808,-0.0808,143.13,1558.59,4601.42,7293.36,9275.65,9900.0,9900.0,9900.0,9900.0,8711.73,6526.97,3571.74,810.574,150.333,-0.0808,-0.0808,-0.0808,-0.0808,-0.0808,-0.0808,-0.0808,-0.0808,-0.0808,-0.0808,162.147,1582.83,4652.13,7262.7,9309.11,9900.0,9900.0,9900.0,9900.0,8684.13,6506.79,3546.78,798.133,163.378,-0.0808,-0.0808,-0.0808,-0.0808,-0.0808,-0.0808,-0.0808,-0.0808,-0.0808,-0.0808,176.198,1592.5,4649.73,7254.35,9210.27,9900.0,9900.0,9900.0,9818.89,8320.27,6249.09,3446.82,811.078,169.607,-0.0808,-0.0808,-0.0808,-0.0808,-0.0808,-0.0808,-0.0808,-0.0808,-0.0808,-0.0808,183.934,1573.79,4550.1,7088.31,8970.42,9900.0,9900.0,9900.0,9712.62,8231.15,6161.08,3403.62,802.099,175.403,-0.0808,-0.0808,-0.0808,-0.0808,-0.0808,-0.0808,-0.0808,-0.0808,-0.0808,-0.0808,197.139,1593.64,4561.82,7135.24,9083.86,9900.0,9900.0,9900.0,9880.14,8375.14,6242.44,3417.19,780.043,183.854,-0.0808,-0.0808,-0.0808,-0.0808,-0.0808,-0.0808,-0.0808,-0.0808,-0.0808,-0.0808,201.118,1606.36,4560.79,7098.27,9033.29,9900.0,9900.0,9900.0,9784.13,8226.29,6141.39,3346.63,787.36,196.605,-0.0808,-0.0808,-0.0808,-0.0808,-0.0808,-0.0808,-0.0808,-0.0808,-0.0808,-0.0808,218.605,1575.92,4461.8,6922.55,8636.69,9785.05,9900.0,9900.0,9355.42,7959.29,5960.98,3006.59,995.337,177.572,-0.0808,-0.0808,-0.0808,-0.0808,-0.0808,-0.0808,-0.0808,-0.0808,-0.0808,-0.0808,228.097,1581.39,4439.07,7010.04,8905.56,9900.0,9900.0,9900.0,9752.3,8159.24,6088.14,3308.65,857.798,223.422,-0.0808,-0.0808,-0.0808,-0.0808,-0.0808,-0.0808,-0.0808,-0.0808,-0.0808,-0.0808,200.64,954.853,3887.71,6561.09,6769.71,8637.47,8577.61,9040.35,9900.0,8503.17,6303.4,2783.21,1015.61,293.296,-0.0808,-0.0808,-0.0808,-0.0808,-0.0808,-0.0808,-0.0808,-0.0808,-0.0808,-0.0808,173.173,33.2026,323.188,2754.45,2354.8,2806.12,2081.14,5523.69,258.54,5666.39,6069.69,3171.89,67.8206,89.5266,-0.0808,-0.0808,-0.0808,-0.0808,-0.0808,-0.0808,-0.0808,-0.0808,-0.0808,-0.0808,112.324,1677.85,2947.59,5153.21,5126.54,9118.22,7304.56,9034.68,6773.44,6014.08,4047.26,1810.42,944.594,167.775,-0.0808,-0.0808,-0.0808,-0.0808,-0.0808,-0.0808,-0.0808,-0.0808,-0.0808,-0.0808,139.313,1664.55,4277.13,5851.21,9084.95,9234.37,9830.77,9490.7,9822.62,6286.1,5166.58,2793.98,1251.47,57.4994,-0.0808,-0.0808,-0.0808,-0.0808,-0.0808,-0.0808,-0.0808,-0.0808,-0.0808,-0.0808,192.38,41.758,2046.74,4509.24,2757.77,4340.8,6939.22,8894.69,7936.82,2676.43,3215.99,2576.37,83.5696,94.7184,-0.0808,-0.0808,-0.0808,-0.0808,-0.0808,-0.0808,-0.0808,-0.0808,-0.0808,-0.0808,220.627,1631.35,4234.81,6706.21,8645.43,9900.0,7907.27,9725.38,8850.74,6803.88,4931.33,2947.64,1187.82,139.883,-0.0808,-0.0808,-0.0808,-0.0808,-0.0808,-0.0808,-0.0808,-0.0808,-0.0808,-0.0808,330.442,1665.99,4146.57,4986.2,5964.05,2094.44,6612.03,8163.34,7434.92,1032.27,4135.58,1381.54,1075.71,322.358,-0.0808,-0.0808,-0.0808,-0.0808,-0.0808,-0.0808,-0.0808,-0.0808,-0.0808,-0.0808,24.8822,43.3961,1066.73,685.097,590.916,567.766,3737.43,5090.1,6421.91,5501.76,3080.79,359.132,526.149,34.6665,-0.0808,-0.0808,-0.0808,-0.0808,-0.0808,-0.0808,-0.0808,-0.0808,-0.0808,-0.0808,217.002,461.11,2518.23,3333.36,1880.91,6201.53,3478.05,5981.07,6576.42,5342.15,4323.13,772.949,1003.58,388.33,-0.0808,-0.0808,-0.0808,-0.0808,-0.0808,-0.0808,-0.0808,-0.0808,-0.0808,-0.0808,24.5715,1003.7,1972.4,5093.04,3870.24,5012.83,8088.05,1083.06,1411.17,2490.44,1362.06,474.745,76.8744,48.2592,-0.0808,-0.0808,-0.0808,-0.0808,-0.0808,-0.0808,-0.0808,-0.0808,-0.0808,-0.0808,24.413,802.414,3261.3,4260.45,8726.22,8477.8,8171.94,6953.35,1986.82,2088.22,1899.33,1879.98,786.779,63.2899,-0.0808,-0.0808,-0.0808,-0.0808,-0.0808,-0.0808,-0.0808,-0.0808,-0.0808,-0.0808,366.069,1548.49,3533.28,7140.85,9008.41,9900.0,9900.0,9900.0,9708.49,8213.04,6179.34,3398.97,852.635,425.799,-0.0808,-0.0808,-0.0808,-0.0808,-0.0808,-0.0808,-0.0808,-0.0808,-0.0808,-0.0808,345.49,1756.42,4676.44,7177.0,9026.63,9900.0,9843.12,9900.0,9551.37,8077.82,6050.61,3337.21,1024.28,425.486,-0.0808,-0.0808,-0.0808,-0.0808,-0.0808,-0.0808,-0.0808,-0.0808,-0.0808,-0.0808,167.354,1775.87,4079.62,5879.19,7278.15,8676.25,9448.35,9237.86,8208.43,7953.39,5945.78,3250.85,788.959,380.298,-0.0808,-0.0808,-0.0808,-0.0808,-0.0808,-0.0808,-0.0808,-0.0808,-0.0808,-0.0808,329.844,1714.82,4552.46,6474.85,8213.5,9900.0,9900.0,9900.0,9444.16,7931.53,5893.07,3235.45,981.57,404.087,-0.0808,-0.0808,-0.0808,-0.0808,-0.0808,-0.0808,-0.0808,-0.0808,-0.0808,-0.0808,424.541,1727.29,3010.31,4242.67,4636.65,6648.47,9451.12,8796.18,7253.16,7627.89,5679.48,2841.74,945.325,432.214,-0.0808,-0.0808,-0.0808,-0.0808,-0.0808,-0.0808,-0.0808,-0.0808,-0.0808,-0.0808,425.563,1786.37,3059.41,6581.25,7285.02,9508.44,9900.0,9865.82,6151.73,5653.07,5682.84,1261.44,39.4777,424.921,-0.0808,-0.0808,-0.0808,-0.0808,-0.0808,-0.0808,-0.0808,-0.0808,-0.0808,-0.0808,294.063,1670.58,3297.47,5558.79,6830.17,6890.52,9072.46,7499.11,8385.56,7968.32,4666.45,928.293,1057.45,146.949,-0.0808,-0.0808,-0.0808,-0.0808,-0.0808,-0.0808,-0.0808,-0.0808,-0.0808,-0.0808,50.2231,41.6827,2116.23,4934.47,5386.23,8335.78,7724.5,6756.06,4640.35,1745.32,5889.23,3326.56,1034.39,499.924,-0.0808,-0.0808,-0.0808,-0.0808,-0.0808,-0.0808,-0.0808,-0.0808,-0.0808,-0.0808,554.05,759.402,2665.68,4992.32,7375.39,8892.28,9099.72,9157.95,8051.47,5665.79,3832.86,2846.68,871.804,59.0844,-0.0808,-0.0808,-0.0808,-0.0808,-0.0808,-0.0808,-0.0808,-0.0808,-0.0808,-0.0808,482.547,1206.7,1998.5,4174.47,4715.88,5544.84,3717.54,6506.76,9034.21,6124.73,5784.59,1535.54,863.657,229.849,-0.0808,-0.0808,-0.0808,-0.0808,-0.0808,-0.0808,-0.0808,-0.0808,-0.0808,-0.0808,439.645,1794.96,4062.18,5440.48,8280.45,8920.39,7806.12,4983.58,6818.88,5654.91,148.913,928.941,1146.21,209.309,-0.0808,-0.0808,-0.0808,-0.0808,-0.0808,-0.0808,-0.0808,-0.0808,-0.0808,-0.0808,41.3685,288.033,3219.61,4335.55,6278.45,6866.63,7026.41,6956.31,2163.36,1956.34,872.652,2095.17,190.648,194.517,-0.0808,-0.0808,-0.0808,-0.0808,-0.0808,-0.0808,-0.0808,-0.0808,-0.0808,-0.0808,368.773,110.974,74.2669,4939.26,6691.17,9263.02,7931.51,7021.79,2378.76,6357.97,4681.52,2720.96,1478.63,553.225,-0.0808,-0.0808,-0.0808,-0.0808,-0.0808,-0.0808,-0.0808,-0.0808,-0.0808,-0.0808,465.005,1804.71,3689.01,6846.61,6496.2,6895.15,2184.44,8351.9,8097.78,3319.77,4617.95,3074.93,908.193,509.739,-0.0808,-0.0808,-0.0808,-0.0808,-0.0808,-0.0808,-0.0808,-0.0808,-0.0808,-0.0808,435.497,1724.55,4477.98,6876.13,8671.41,9864.79,9900.0,9900.0,7310.17,6030.29,5964.65,3307.48,944.764,593.506,-0.0808,-0.0808,-0.0808,-0.0808,-0.0808,-0.0808,-0.0808,-0.0808,-0.0808,-0.0808,392.491,1831.66,3751.02,6715.91,7968.01,8506.25,7705.0,9753.77,8929.53,7566.88,5730.15,3239.7,971.965,576.931,-0.0808,-0.0808,-0.0808,-0.0808,-0.0808,-0.0808,-0.0808,-0.0808,-0.0808,-0.0808,462.641,1694.07,3968.63,6389.88,8042.91,9061.6,9598.43,9509.85,8848.92,7424.08,5529.09,3171.2,1235.59,538.301,-0.0808,-0.0808,-0.0808,-0.0808,-0.0808,-0.0808,-0.0808,-0.0808,-0.0808,-0.0808,505.152,1881.17,3793.39,5939.62,7771.0,9044.25,9821.93,9707.24,6969.26,6141.53,5593.59,3117.62,1189.67,590.325,-0.0808,-0.0808,-0.0808,-0.0808,-0.0808,-0.0808,-0.0808,-0.0808,-0.0808,-0.0808,513.325,1000.11,3863.83,5829.62,8051.49,7914.37,9856.65,9726.83,7509.73,6808.92,4170.91,2950.17,1399.52,54.036,-0.0808,-0.0808,-0.0808,-0.0808,-0.0808,-0.0808,-0.0808,-0.0808,-0.0808,-0.0808,23.7751,846.298,3507.15,5737.85,7204.27,6539.92,6702.15,3342.6,2575.94,6200.51,4796.51,2812.47,1139.02,29.8365,-0.0808,-0.0808,-0.0808,-0.0808,-0.0808,-0.0808,-0.0808,-0.0808,-0.0808,-0.0808,523.906,1898.22,3537.57,5652.86,6989.73,9565.94,6993.79,622.051,5648.35,6702.59,4314.51,2680.89,1094.6,642.476,-0.0808,-0.0808,-0.0808,-0.0808,-0.0808,-0.0808,-0.0808,-0.0808,-0.0808,-0.0808,481.446,1773.43,3515.5,5820.13,8180.19,9333.41,9839.17,6929.27,3504.27,5846.0,3617.92,3121.57,1411.89,166.192,-0.0808,-0.0808,-0.0808,-0.0808,-0.0808,-0.0808,-0.0808,-0.0808,-0.0808,-0.0808,660.681,1798.07,3937.47,6445.5,7731.79,7695.69,7156.78,7351.62,6997.94,6455.09,5137.65,3252.46,980.129,612.964,-0.0808,-0.0808,-0.0808,-0.0808,-0.0808,-0.0808,-0.0808,-0.0808,-0.0808,-0.0808,480.72,1718.15,1353.62,1730.18,2629.81,1748.73,9087.08,8312.38,2665.05,3687.34,4019.67,2786.27,1441.03,319.87,-0.0808,-0.0808,-0.0808,-0.0808,-0.0808,-0.0808,-0.0808,-0.0808,-0.0808,-0.0808,470.607,1651.7,4140.63,6421.95,7598.58,8100.08,7438.02,8291.99,7632.3,3583.13,1424.38,98.5908,307.285,22.7992,-0.0808,-0.0808,-0.0808,-0.0808,-0.0808,-0.0808,-0.0808,-0.0808,-0.0808,-0.0808,24.1434,666.685,673.311,2942.63,4843.42,6786.38,5869.87,6441.74,4901.11,5706.45,4491.41,2847.23,1455.8,141.19,-0.0808,-0.0808,-0.0808,-0.0808,-0.0808,-0.0808,-0.0808,-0.0808,-0.0808,-0.0808,454.778,1619.1,4259.67,6575.56,8284.87,9453.87,9900.0,9861.01,9075.28,7697.36,5832.09,3284.63,996.669,631.252,-0.0808,-0.0808,-0.0808,-0.0808,-0.0808,-0.0808,-0.0808,-0.0808,-0.0808,-0.0808,470.394,1614.63,4016.52,6215.87,6916.01,7922.87,8048.71,7748.55,7170.32,5601.09,4678.64,2731.24,817.848,386.971,-0.0808,-0.0808,-0.0808,-0.0808,-0.0808,-0.0808,-0.0808,-0.0808,-0.0808,-0.0808,23.9324,1848.2,1718.26,4145.76,2074.73,8106.19,9615.72,9552.7,7923.6,7669.05,4365.86,2896.64,1415.36,677.697,-0.0808,-0.0808,-0.0808,-0.0808,-0.0808,-0.0808,-0.0808,-0.0808,-0.0808,-0.0808,469.363,1820.62,3847.49,5423.16,5317.24,1849.25,9900.0,8180.79,7559.67,5918.98,4885.49,3380.49,1044.54,658.27,-0.0808,-0.0808,-0.0808,-0.0808,-0.0808,-0.0808,-0.0808,-0.0808,-0.0808,-0.0808,618.894,1807.62,4177.01,6461.23,6201.63,7174.26,4288.75,7758.04,6355.03,2457.28,2676.67,2861.86,1607.76,167.598,-0.0808,-0.0808,-0.0808,-0.0808,-0.0808,-0.0808,-0.0808,-0.0808,-0.0808,-0.0808,494.738,1618.86,4123.13,6449.76,5766.18,6383.89,6689.96,6163.51,6779.73,6899.63,5025.8,3176.37,1547.9,692.505,-0.0808,-0.0808,-0.0808,-0.0808,-0.0808,-0.0808,-0.0808,-0.0808,-0.0808,-0.0808,488.89,1594.25,4162.71,6489.88,7776.78,8337.47,6833.95,6775.02,6164.84,5872.02,4389.83,1824.63,911.236,122.536,-0.0808,-0.0808,-0.0808,-0.0808,-0.0808,-0.0808,-0.0808,-0.0808,-0.0808,-0.0808,24.0824,1635.39,3431.29,5349.45,6226.64,8331.14,7692.13,9900.0,8044.9,7898.28,5984.96,3381.79,950.3,639.58,-0.0808,-0.0808,-0.0808,-0.0808,-0.0808,-0.0808,-0.0808,-0.0808,-0.0808,-0.0808,211.676,1579.26,3699.88,5273.34,5367.94,5515.94,4801.71,8152.31,7564.12,7759.88,5906.44,3122.45,1636.14,123.995,-0.0808,-0.0808,-0.0808,-0.0808,-0.0808,-0.0808,-0.0808,-0.0808,-0.0808,-0.0808,517.665,1616.75,4145.34,6554.2,8358.97,9599.62,9900.0,9900.0,7889.83,6144.57,6030.65,3452.8,966.161,642.622,-0.0808,-0.0808,-0.0808,-0.0808,-0.0808,-0.0808,-0.0808,-0.0808,-0.0808,-0.0808,445.091,1583.51,4205.36,6557.02,8277.51,9433.75,7181.28,8625.29,7369.76,6136.53,5399.53,3268.12,1613.18,140.423,-0.0808,-0.0808,-0.0808,-0.0808,-0.0808,-0.0808,-0.0808,-0.0808,-0.0808,-0.0808,604.717,1563.15,1608.12,2969.91,3606.1,4600.77,5323.91,2290.55,3840.3,3183.42,770.901,1113.98,66.7468,39.9428,-0.0808,-0.0808,-0.0808,-0.0808,-0.0808,-0.0808,-0.0808,-0.0808,-0.0808,-0.0808,32.8537,497.565,864.863,3816.89,3512.36,3393.03,4777.84,2190.88,1063.78,6729.42,4910.23,3491.2,1671.13,662.595,-0.0808,-0.0808,-0.0808,-0.0808,-0.0808,-0.0808,-0.0808,-0.0808,-0.0808,-0.0808,439.693,1245.5,2614.07,2904.69,2750.15,811.402,1247.83,761.921,2943.02,4778.17,4319.84,3072.87,838.247,40.2328,-0.0808,-0.0808,-0.0808,-0.0808,-0.0808,-0.0808,-0.0808,-0.0808,-0.0808,-0.0808,32.9641,609.97,2554.56,1427.63,4655.63,2532.95,2572.18,3049.64,3836.8,3775.22,4256.18,2515.93,182.342,39.8923,-0.0808,-0.0808,-0.0808,-0.0808,-0.0808,-0.0808,-0.0808,-0.0808,-0.0808,-0.0808,450.076,1534.31,4094.99,6466.88,8208.98,9377.7,9829.63,9</t>
  </si>
  <si>
    <t>Production</t>
  </si>
  <si>
    <t>Spatial requirement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</si>
</sst>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448C27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7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2" fontId="2" fillId="0" borderId="0" xfId="0" applyNumberFormat="1" applyFont="1"/>
    <xf numFmtId="0" fontId="3" fillId="0" borderId="0" xfId="0" applyFont="1"/>
    <xf numFmtId="0" fontId="2" fillId="0" borderId="0" xfId="0" applyFont="1"/>
    <xf numFmtId="2" fontId="0" fillId="0" borderId="0" xfId="0" applyNumberFormat="1"/>
    <xf numFmtId="0" fontId="5" fillId="0" borderId="0" xfId="0" applyFont="1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Extras1!$B$3:$M$3</c:f>
              <c:numCache>
                <c:formatCode>General</c:formatCode>
                <c:ptCount val="12"/>
                <c:pt idx="0">
                  <c:v>1208.8399999999999</c:v>
                </c:pt>
                <c:pt idx="1">
                  <c:v>1571.34</c:v>
                </c:pt>
                <c:pt idx="2">
                  <c:v>2361.14</c:v>
                </c:pt>
                <c:pt idx="3">
                  <c:v>2660.54</c:v>
                </c:pt>
                <c:pt idx="4">
                  <c:v>2793.68</c:v>
                </c:pt>
                <c:pt idx="5">
                  <c:v>2782.84</c:v>
                </c:pt>
                <c:pt idx="6">
                  <c:v>3452.22</c:v>
                </c:pt>
                <c:pt idx="7">
                  <c:v>3257.3</c:v>
                </c:pt>
                <c:pt idx="8">
                  <c:v>2882.42</c:v>
                </c:pt>
                <c:pt idx="9">
                  <c:v>2412.81</c:v>
                </c:pt>
                <c:pt idx="10">
                  <c:v>2149.12</c:v>
                </c:pt>
                <c:pt idx="11">
                  <c:v>1352.9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2F-B143-AAF1-43B7D17DA45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Extras1!$B$4:$M$4</c:f>
              <c:numCache>
                <c:formatCode>General</c:formatCode>
                <c:ptCount val="12"/>
                <c:pt idx="0">
                  <c:v>1370.26</c:v>
                </c:pt>
                <c:pt idx="1">
                  <c:v>1834.1</c:v>
                </c:pt>
                <c:pt idx="2">
                  <c:v>2320.98</c:v>
                </c:pt>
                <c:pt idx="3">
                  <c:v>2660.54</c:v>
                </c:pt>
                <c:pt idx="4">
                  <c:v>2737.02</c:v>
                </c:pt>
                <c:pt idx="5">
                  <c:v>2946.53</c:v>
                </c:pt>
                <c:pt idx="6">
                  <c:v>3331.4</c:v>
                </c:pt>
                <c:pt idx="7">
                  <c:v>3415.91</c:v>
                </c:pt>
                <c:pt idx="8">
                  <c:v>3047.5</c:v>
                </c:pt>
                <c:pt idx="9">
                  <c:v>2180.5500000000002</c:v>
                </c:pt>
                <c:pt idx="10">
                  <c:v>1704.37</c:v>
                </c:pt>
                <c:pt idx="11">
                  <c:v>1370.66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2F-B143-AAF1-43B7D17DA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0922832"/>
        <c:axId val="418454880"/>
      </c:lineChart>
      <c:catAx>
        <c:axId val="460922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418454880"/>
        <c:crosses val="autoZero"/>
        <c:auto val="1"/>
        <c:lblAlgn val="ctr"/>
        <c:lblOffset val="100"/>
        <c:noMultiLvlLbl val="0"/>
      </c:catAx>
      <c:valAx>
        <c:axId val="41845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46092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PV</a:t>
            </a:r>
            <a:r>
              <a:rPr lang="en-US" baseline="0"/>
              <a:t> O&amp;M change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Extras2!$D$34:$D$46</c:f>
              <c:numCache>
                <c:formatCode>General</c:formatCode>
                <c:ptCount val="13"/>
                <c:pt idx="0">
                  <c:v>25.6</c:v>
                </c:pt>
                <c:pt idx="1">
                  <c:v>23.5</c:v>
                </c:pt>
                <c:pt idx="2">
                  <c:v>18.2</c:v>
                </c:pt>
                <c:pt idx="3">
                  <c:v>15.4</c:v>
                </c:pt>
                <c:pt idx="4">
                  <c:v>13.7</c:v>
                </c:pt>
                <c:pt idx="5">
                  <c:v>12.4</c:v>
                </c:pt>
                <c:pt idx="6">
                  <c:v>11.3</c:v>
                </c:pt>
                <c:pt idx="7">
                  <c:v>10.9</c:v>
                </c:pt>
                <c:pt idx="8">
                  <c:v>10.4</c:v>
                </c:pt>
                <c:pt idx="9">
                  <c:v>9.9</c:v>
                </c:pt>
                <c:pt idx="10">
                  <c:v>9.6</c:v>
                </c:pt>
                <c:pt idx="11">
                  <c:v>9.6</c:v>
                </c:pt>
                <c:pt idx="12">
                  <c:v>9.1999999999999993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43-C841-925A-D25F7B662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374031"/>
        <c:axId val="1219197919"/>
      </c:scatterChart>
      <c:valAx>
        <c:axId val="122237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219197919"/>
        <c:crosses val="autoZero"/>
        <c:crossBetween val="midCat"/>
      </c:valAx>
      <c:valAx>
        <c:axId val="121919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R"/>
          </a:p>
        </c:txPr>
        <c:crossAx val="122237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370840</xdr:colOff>
      <xdr:row>0</xdr:row>
      <xdr:rowOff>193040</xdr:rowOff>
    </xdr:from>
    <xdr:to>
      <xdr:col>20</xdr:col>
      <xdr:colOff>5080</xdr:colOff>
      <xdr:row>14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0C4D06-28BF-F96F-16F1-20C249784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152127</xdr:colOff>
      <xdr:row>1</xdr:row>
      <xdr:rowOff>39056</xdr:rowOff>
    </xdr:from>
    <xdr:to>
      <xdr:col>18</xdr:col>
      <xdr:colOff>513871</xdr:colOff>
      <xdr:row>27</xdr:row>
      <xdr:rowOff>17804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D15669-7D06-2D71-AE54-642BE4C36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81627" y="242256"/>
          <a:ext cx="7791244" cy="5261948"/>
        </a:xfrm>
        <a:prstGeom prst="rect">
          <a:avLst/>
        </a:prstGeom>
      </xdr:spPr>
    </xdr:pic>
    <xdr:clientData/>
  </xdr:twoCellAnchor>
  <xdr:twoCellAnchor>
    <xdr:from>
      <xdr:col>8</xdr:col>
      <xdr:colOff>527050</xdr:colOff>
      <xdr:row>36</xdr:row>
      <xdr:rowOff>127000</xdr:rowOff>
    </xdr:from>
    <xdr:to>
      <xdr:col>14</xdr:col>
      <xdr:colOff>146050</xdr:colOff>
      <xdr:row>50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A49936-B4A5-E409-54EF-9C2BA9047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E307-70EA-9749-BC3D-54A83804696F}">
  <dimension ref="A1:J15"/>
  <sheetViews>
    <sheetView tabSelected="1" zoomScale="200" workbookViewId="0">
      <selection activeCell="G16" sqref="G16"/>
    </sheetView>
  </sheetViews>
  <sheetFormatPr baseColWidth="10" defaultRowHeight="16" x14ac:dyDescent="0.2"/>
  <cols>
    <col min="1" max="1" width="25.6640625" bestFit="1" customWidth="1"/>
  </cols>
  <sheetData>
    <row r="1" spans="1:10" x14ac:dyDescent="0.2">
      <c r="A1" t="s">
        <v>0</v>
      </c>
      <c r="B1" t="s">
        <v>24</v>
      </c>
      <c r="C1" t="s">
        <v>25</v>
      </c>
      <c r="D1" t="s">
        <v>48</v>
      </c>
      <c r="E1" t="s">
        <v>53</v>
      </c>
      <c r="F1" t="s">
        <v>58</v>
      </c>
      <c r="G1" t="s">
        <v>60</v>
      </c>
    </row>
    <row r="2" spans="1:10" x14ac:dyDescent="0.2">
      <c r="A2" t="s">
        <v>1</v>
      </c>
      <c r="B2" s="4">
        <v>20047.09</v>
      </c>
      <c r="C2" s="4">
        <v>32570.23</v>
      </c>
      <c r="D2" s="4">
        <v>631742.35</v>
      </c>
      <c r="E2" s="4">
        <v>945275.96</v>
      </c>
      <c r="F2" s="4">
        <v>3190170.44</v>
      </c>
      <c r="G2" s="4">
        <v>5832190.2199999997</v>
      </c>
      <c r="H2" s="4"/>
      <c r="I2" s="4"/>
    </row>
    <row r="3" spans="1:10" x14ac:dyDescent="0.2">
      <c r="A3" t="s">
        <v>2</v>
      </c>
      <c r="B3">
        <v>21.17</v>
      </c>
      <c r="C3">
        <v>21.17</v>
      </c>
      <c r="D3">
        <v>21.17</v>
      </c>
      <c r="E3">
        <v>21.17</v>
      </c>
      <c r="F3">
        <v>21.17</v>
      </c>
      <c r="G3">
        <v>21.17</v>
      </c>
    </row>
    <row r="4" spans="1:10" x14ac:dyDescent="0.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10" x14ac:dyDescent="0.2">
      <c r="A5" t="s">
        <v>4</v>
      </c>
      <c r="B5" t="s">
        <v>118</v>
      </c>
      <c r="C5" t="s">
        <v>119</v>
      </c>
      <c r="D5" t="s">
        <v>120</v>
      </c>
      <c r="E5" t="s">
        <v>121</v>
      </c>
      <c r="F5" t="s">
        <v>122</v>
      </c>
      <c r="G5" t="s">
        <v>123</v>
      </c>
    </row>
    <row r="6" spans="1:10" x14ac:dyDescent="0.2">
      <c r="A6" t="s">
        <v>16</v>
      </c>
      <c r="B6">
        <v>25</v>
      </c>
      <c r="C6">
        <v>25</v>
      </c>
      <c r="D6">
        <v>25</v>
      </c>
      <c r="E6">
        <v>25</v>
      </c>
      <c r="F6">
        <v>25</v>
      </c>
      <c r="G6">
        <v>25</v>
      </c>
    </row>
    <row r="7" spans="1:10" x14ac:dyDescent="0.2">
      <c r="A7" t="s">
        <v>18</v>
      </c>
      <c r="B7" t="s">
        <v>124</v>
      </c>
      <c r="C7" t="s">
        <v>124</v>
      </c>
      <c r="D7" t="s">
        <v>124</v>
      </c>
      <c r="E7" t="s">
        <v>124</v>
      </c>
      <c r="F7" t="s">
        <v>124</v>
      </c>
      <c r="G7" t="s">
        <v>124</v>
      </c>
    </row>
    <row r="8" spans="1:10" x14ac:dyDescent="0.2">
      <c r="A8" t="s">
        <v>19</v>
      </c>
      <c r="B8">
        <v>5.0000000000000001E-3</v>
      </c>
      <c r="C8">
        <v>5.0000000000000001E-3</v>
      </c>
      <c r="D8">
        <v>5.0000000000000001E-3</v>
      </c>
      <c r="E8">
        <v>5.0000000000000001E-3</v>
      </c>
      <c r="F8">
        <v>5.0000000000000001E-3</v>
      </c>
      <c r="G8">
        <v>5.0000000000000001E-3</v>
      </c>
    </row>
    <row r="9" spans="1:10" x14ac:dyDescent="0.2">
      <c r="A9" t="s">
        <v>20</v>
      </c>
      <c r="B9">
        <v>156.03754062836398</v>
      </c>
      <c r="C9">
        <v>312.07508125672797</v>
      </c>
      <c r="D9" s="4">
        <v>5011.5586578286311</v>
      </c>
      <c r="E9" s="4">
        <v>10023.117315657262</v>
      </c>
      <c r="F9" s="4">
        <v>50115.586578286311</v>
      </c>
      <c r="G9" s="4">
        <v>100231.17315657262</v>
      </c>
      <c r="H9" s="4"/>
      <c r="I9" s="4"/>
      <c r="J9" s="4"/>
    </row>
    <row r="10" spans="1:10" x14ac:dyDescent="0.2">
      <c r="A10" t="s">
        <v>21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</row>
    <row r="11" spans="1:10" x14ac:dyDescent="0.2">
      <c r="A11" t="s">
        <v>22</v>
      </c>
      <c r="B11">
        <f>(1-0.58)/B6</f>
        <v>1.6800000000000002E-2</v>
      </c>
      <c r="C11">
        <f t="shared" ref="C11:G11" si="0">(1-0.58)/C6</f>
        <v>1.6800000000000002E-2</v>
      </c>
      <c r="D11">
        <f t="shared" si="0"/>
        <v>1.6800000000000002E-2</v>
      </c>
      <c r="E11">
        <f t="shared" si="0"/>
        <v>1.6800000000000002E-2</v>
      </c>
      <c r="F11">
        <f t="shared" si="0"/>
        <v>1.6800000000000002E-2</v>
      </c>
      <c r="G11">
        <f t="shared" si="0"/>
        <v>1.6800000000000002E-2</v>
      </c>
    </row>
    <row r="12" spans="1:10" x14ac:dyDescent="0.2">
      <c r="A12" t="s">
        <v>23</v>
      </c>
      <c r="B12">
        <f>B2*0.58</f>
        <v>11627.312199999998</v>
      </c>
      <c r="C12">
        <f>C2*0.58</f>
        <v>18890.733399999997</v>
      </c>
      <c r="D12">
        <f t="shared" ref="D12:E12" si="1">D2*0.58</f>
        <v>366410.56299999997</v>
      </c>
      <c r="E12">
        <f t="shared" si="1"/>
        <v>548260.0567999999</v>
      </c>
      <c r="F12">
        <f>F2*0.58</f>
        <v>1850298.8551999999</v>
      </c>
      <c r="G12">
        <f>G2*0.58</f>
        <v>3382670.3275999995</v>
      </c>
      <c r="H12" s="7"/>
      <c r="I12" s="7"/>
    </row>
    <row r="13" spans="1:10" x14ac:dyDescent="0.2">
      <c r="A13" t="s">
        <v>26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10" x14ac:dyDescent="0.2">
      <c r="A14" t="s">
        <v>105</v>
      </c>
      <c r="B14">
        <v>0.91825292799460578</v>
      </c>
      <c r="C14">
        <v>0.91825292799460578</v>
      </c>
      <c r="D14">
        <v>0.91825292799460578</v>
      </c>
      <c r="E14">
        <v>0.91825292799460578</v>
      </c>
      <c r="F14">
        <v>0.91825292799460578</v>
      </c>
      <c r="G14">
        <v>0.91825292799460578</v>
      </c>
    </row>
    <row r="15" spans="1:10" x14ac:dyDescent="0.2">
      <c r="A15" t="s">
        <v>125</v>
      </c>
      <c r="B15">
        <v>88</v>
      </c>
      <c r="C15">
        <v>177</v>
      </c>
      <c r="D15">
        <v>2837</v>
      </c>
      <c r="E15">
        <v>5674</v>
      </c>
      <c r="F15">
        <v>28370</v>
      </c>
      <c r="G15">
        <v>56739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33B43-D754-5346-B372-5334A6F317AF}">
  <dimension ref="A1:J15"/>
  <sheetViews>
    <sheetView zoomScale="200" workbookViewId="0">
      <selection activeCell="G14" sqref="G14"/>
    </sheetView>
  </sheetViews>
  <sheetFormatPr baseColWidth="10" defaultRowHeight="16" x14ac:dyDescent="0.2"/>
  <cols>
    <col min="1" max="1" width="25.6640625" bestFit="1" customWidth="1"/>
  </cols>
  <sheetData>
    <row r="1" spans="1:10" x14ac:dyDescent="0.2">
      <c r="A1" t="s">
        <v>0</v>
      </c>
      <c r="B1" t="s">
        <v>24</v>
      </c>
      <c r="C1" t="s">
        <v>25</v>
      </c>
      <c r="D1" t="s">
        <v>48</v>
      </c>
      <c r="E1" t="s">
        <v>53</v>
      </c>
      <c r="F1" t="s">
        <v>58</v>
      </c>
      <c r="G1" t="s">
        <v>60</v>
      </c>
    </row>
    <row r="2" spans="1:10" x14ac:dyDescent="0.2">
      <c r="A2" t="s">
        <v>1</v>
      </c>
      <c r="B2" s="4">
        <v>20047.09</v>
      </c>
      <c r="C2" s="4">
        <v>32570.23</v>
      </c>
      <c r="D2" s="4">
        <v>631742.35</v>
      </c>
      <c r="E2" s="4">
        <v>945275.96</v>
      </c>
      <c r="F2" s="4">
        <v>3190170.44</v>
      </c>
      <c r="G2" s="4">
        <v>5832190.2199999997</v>
      </c>
      <c r="H2" s="4"/>
      <c r="I2" s="4"/>
    </row>
    <row r="3" spans="1:10" x14ac:dyDescent="0.2">
      <c r="A3" t="s">
        <v>2</v>
      </c>
      <c r="B3">
        <v>21.17</v>
      </c>
      <c r="C3">
        <v>21.17</v>
      </c>
      <c r="D3">
        <v>21.17</v>
      </c>
      <c r="E3">
        <v>21.17</v>
      </c>
      <c r="F3">
        <v>21.17</v>
      </c>
      <c r="G3">
        <v>21.17</v>
      </c>
    </row>
    <row r="4" spans="1:10" x14ac:dyDescent="0.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10" x14ac:dyDescent="0.2">
      <c r="A5" t="s">
        <v>4</v>
      </c>
      <c r="B5" t="s">
        <v>97</v>
      </c>
      <c r="C5" t="s">
        <v>98</v>
      </c>
      <c r="D5" t="s">
        <v>101</v>
      </c>
      <c r="E5" t="s">
        <v>102</v>
      </c>
      <c r="F5" t="s">
        <v>103</v>
      </c>
      <c r="G5" t="s">
        <v>104</v>
      </c>
    </row>
    <row r="6" spans="1:10" x14ac:dyDescent="0.2">
      <c r="A6" t="s">
        <v>5</v>
      </c>
      <c r="B6" t="s">
        <v>15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</row>
    <row r="7" spans="1:10" x14ac:dyDescent="0.2">
      <c r="A7" t="s">
        <v>16</v>
      </c>
      <c r="B7">
        <v>25</v>
      </c>
      <c r="C7">
        <v>25</v>
      </c>
      <c r="D7">
        <v>25</v>
      </c>
      <c r="E7">
        <v>25</v>
      </c>
      <c r="F7">
        <v>25</v>
      </c>
      <c r="G7">
        <v>25</v>
      </c>
    </row>
    <row r="8" spans="1:10" x14ac:dyDescent="0.2">
      <c r="A8" t="s">
        <v>18</v>
      </c>
      <c r="B8" t="s">
        <v>17</v>
      </c>
      <c r="C8" t="s">
        <v>17</v>
      </c>
      <c r="D8" t="s">
        <v>17</v>
      </c>
      <c r="E8" t="s">
        <v>17</v>
      </c>
      <c r="F8" t="s">
        <v>17</v>
      </c>
      <c r="G8" t="s">
        <v>17</v>
      </c>
    </row>
    <row r="9" spans="1:10" x14ac:dyDescent="0.2">
      <c r="A9" t="s">
        <v>19</v>
      </c>
      <c r="B9">
        <v>5.0000000000000001E-3</v>
      </c>
      <c r="C9">
        <v>5.0000000000000001E-3</v>
      </c>
      <c r="D9">
        <v>5.0000000000000001E-3</v>
      </c>
      <c r="E9">
        <v>5.0000000000000001E-3</v>
      </c>
      <c r="F9">
        <v>5.0000000000000001E-3</v>
      </c>
      <c r="G9">
        <v>5.0000000000000001E-3</v>
      </c>
    </row>
    <row r="10" spans="1:10" x14ac:dyDescent="0.2">
      <c r="A10" t="s">
        <v>20</v>
      </c>
      <c r="B10">
        <v>156.03754062836398</v>
      </c>
      <c r="C10">
        <v>312.07508125672797</v>
      </c>
      <c r="D10" s="4">
        <v>5011.5586578286311</v>
      </c>
      <c r="E10" s="4">
        <v>10023.117315657262</v>
      </c>
      <c r="F10" s="4">
        <v>50115.586578286311</v>
      </c>
      <c r="G10" s="4">
        <v>100231.17315657262</v>
      </c>
      <c r="H10" s="4"/>
      <c r="I10" s="4"/>
      <c r="J10" s="4"/>
    </row>
    <row r="11" spans="1:10" x14ac:dyDescent="0.2">
      <c r="A11" t="s">
        <v>21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</row>
    <row r="12" spans="1:10" x14ac:dyDescent="0.2">
      <c r="A12" t="s">
        <v>22</v>
      </c>
      <c r="B12">
        <v>1.6799999999999999E-2</v>
      </c>
      <c r="C12">
        <v>1.6799999999999999E-2</v>
      </c>
      <c r="D12">
        <v>1.6799999999999999E-2</v>
      </c>
      <c r="E12">
        <v>1.6799999999999999E-2</v>
      </c>
      <c r="F12">
        <v>1.6799999999999999E-2</v>
      </c>
      <c r="G12">
        <v>1.6799999999999999E-2</v>
      </c>
    </row>
    <row r="13" spans="1:10" x14ac:dyDescent="0.2">
      <c r="A13" t="s">
        <v>23</v>
      </c>
      <c r="B13">
        <f>B2*0.58</f>
        <v>11627.312199999998</v>
      </c>
      <c r="C13">
        <f>C2*0.58</f>
        <v>18890.733399999997</v>
      </c>
      <c r="D13">
        <f t="shared" ref="D13:E13" si="0">D2*0.58</f>
        <v>366410.56299999997</v>
      </c>
      <c r="E13">
        <f t="shared" si="0"/>
        <v>548260.0567999999</v>
      </c>
      <c r="F13">
        <f>F2*0.58</f>
        <v>1850298.8551999999</v>
      </c>
      <c r="G13">
        <f>G2*0.58</f>
        <v>3382670.3275999995</v>
      </c>
      <c r="H13" s="7"/>
      <c r="I13" s="7"/>
    </row>
    <row r="14" spans="1:10" x14ac:dyDescent="0.2">
      <c r="A14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10" x14ac:dyDescent="0.2">
      <c r="A15" t="s">
        <v>105</v>
      </c>
      <c r="B15">
        <v>0.91825292799460578</v>
      </c>
      <c r="C15">
        <v>0.91825292799460578</v>
      </c>
      <c r="D15">
        <v>0.91825292799460578</v>
      </c>
      <c r="E15">
        <v>0.91825292799460578</v>
      </c>
      <c r="F15">
        <v>0.91825292799460578</v>
      </c>
      <c r="G15">
        <v>0.91825292799460578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4CF1-7336-B242-BB78-8AD8C045F5E6}">
  <dimension ref="A1:D7"/>
  <sheetViews>
    <sheetView zoomScale="166" workbookViewId="0">
      <selection activeCell="A7" sqref="A7"/>
    </sheetView>
  </sheetViews>
  <sheetFormatPr baseColWidth="10" defaultRowHeight="16" x14ac:dyDescent="0.2"/>
  <cols>
    <col min="1" max="1" width="26.1640625" bestFit="1" customWidth="1"/>
    <col min="5" max="5" width="11.33203125" bestFit="1" customWidth="1"/>
    <col min="6" max="6" width="13.1640625" bestFit="1" customWidth="1"/>
    <col min="7" max="7" width="17.6640625" bestFit="1" customWidth="1"/>
    <col min="8" max="9" width="17.6640625" customWidth="1"/>
    <col min="10" max="10" width="17.1640625" bestFit="1" customWidth="1"/>
    <col min="11" max="11" width="25.1640625" bestFit="1" customWidth="1"/>
    <col min="12" max="12" width="26.1640625" bestFit="1" customWidth="1"/>
    <col min="13" max="13" width="17.83203125" bestFit="1" customWidth="1"/>
    <col min="14" max="14" width="16.6640625" bestFit="1" customWidth="1"/>
  </cols>
  <sheetData>
    <row r="1" spans="1:4" x14ac:dyDescent="0.2">
      <c r="A1" t="s">
        <v>0</v>
      </c>
      <c r="B1" t="s">
        <v>12</v>
      </c>
      <c r="C1" t="s">
        <v>13</v>
      </c>
      <c r="D1" t="s">
        <v>14</v>
      </c>
    </row>
    <row r="2" spans="1:4" x14ac:dyDescent="0.2">
      <c r="A2" t="s">
        <v>6</v>
      </c>
      <c r="B2">
        <v>0.3125</v>
      </c>
      <c r="C2">
        <v>0.375</v>
      </c>
      <c r="D2">
        <v>0.3125</v>
      </c>
    </row>
    <row r="3" spans="1:4" x14ac:dyDescent="0.2">
      <c r="A3" t="s">
        <v>10</v>
      </c>
      <c r="B3">
        <v>0.15575314059699699</v>
      </c>
      <c r="C3">
        <v>7.0960339119032198E-2</v>
      </c>
      <c r="D3">
        <v>1.9499099067965001E-2</v>
      </c>
    </row>
    <row r="4" spans="1:4" x14ac:dyDescent="0.2">
      <c r="A4" t="s">
        <v>11</v>
      </c>
      <c r="B4">
        <v>2.6959580160185601E-2</v>
      </c>
      <c r="C4">
        <v>4.1532217357839199E-2</v>
      </c>
      <c r="D4">
        <v>8.1027352375768796E-4</v>
      </c>
    </row>
    <row r="5" spans="1:4" x14ac:dyDescent="0.2">
      <c r="A5" t="s">
        <v>7</v>
      </c>
      <c r="B5">
        <f>EXP(-B3*5)</f>
        <v>0.45897216980863992</v>
      </c>
      <c r="C5">
        <f t="shared" ref="C5:D5" si="0">EXP(-C3*5)</f>
        <v>0.70131250277852375</v>
      </c>
      <c r="D5">
        <f t="shared" si="0"/>
        <v>0.90710642775279782</v>
      </c>
    </row>
    <row r="6" spans="1:4" x14ac:dyDescent="0.2">
      <c r="A6" t="s">
        <v>8</v>
      </c>
      <c r="B6">
        <f>EXP(B4*5)</f>
        <v>1.1443054977560938</v>
      </c>
      <c r="C6">
        <f t="shared" ref="C6:D6" si="1">EXP(C4*5)</f>
        <v>1.2307959658423091</v>
      </c>
      <c r="D6">
        <f t="shared" si="1"/>
        <v>1.0040595855027215</v>
      </c>
    </row>
    <row r="7" spans="1:4" x14ac:dyDescent="0.2">
      <c r="A7" t="s">
        <v>9</v>
      </c>
      <c r="B7">
        <v>0</v>
      </c>
      <c r="C7">
        <v>0</v>
      </c>
      <c r="D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238B-0F4C-1343-88A8-2D1E4AFF318E}">
  <dimension ref="A1:C7"/>
  <sheetViews>
    <sheetView zoomScale="133" workbookViewId="0">
      <selection activeCell="B16" sqref="B16"/>
    </sheetView>
  </sheetViews>
  <sheetFormatPr baseColWidth="10" defaultRowHeight="16" x14ac:dyDescent="0.2"/>
  <cols>
    <col min="1" max="3" width="17.33203125" customWidth="1"/>
  </cols>
  <sheetData>
    <row r="1" spans="1:3" x14ac:dyDescent="0.2">
      <c r="A1" t="s">
        <v>0</v>
      </c>
      <c r="B1" t="s">
        <v>12</v>
      </c>
      <c r="C1" t="s">
        <v>13</v>
      </c>
    </row>
    <row r="2" spans="1:3" x14ac:dyDescent="0.2">
      <c r="A2" t="s">
        <v>6</v>
      </c>
      <c r="B2">
        <f>10/16</f>
        <v>0.625</v>
      </c>
      <c r="C2">
        <f>6/16</f>
        <v>0.375</v>
      </c>
    </row>
    <row r="3" spans="1:3" x14ac:dyDescent="0.2">
      <c r="A3" t="s">
        <v>10</v>
      </c>
      <c r="B3">
        <v>3.7907085514064499E-2</v>
      </c>
      <c r="C3">
        <v>0.15446755600000001</v>
      </c>
    </row>
    <row r="4" spans="1:3" x14ac:dyDescent="0.2">
      <c r="A4" t="s">
        <v>11</v>
      </c>
      <c r="B4">
        <v>2.0528048904587998E-2</v>
      </c>
      <c r="C4">
        <v>2.9158527999998501E-2</v>
      </c>
    </row>
    <row r="5" spans="1:3" x14ac:dyDescent="0.2">
      <c r="A5" t="s">
        <v>7</v>
      </c>
      <c r="B5">
        <f>EXP(-5*B3)</f>
        <v>0.82734340561156228</v>
      </c>
      <c r="C5">
        <f>EXP(-5*C3)</f>
        <v>0.46193190986808103</v>
      </c>
    </row>
    <row r="6" spans="1:3" x14ac:dyDescent="0.2">
      <c r="A6" t="s">
        <v>8</v>
      </c>
      <c r="B6">
        <f>EXP(B4*5)</f>
        <v>1.1080926949444148</v>
      </c>
      <c r="C6">
        <f>EXP(C4*5)</f>
        <v>1.1569562567261729</v>
      </c>
    </row>
    <row r="7" spans="1:3" x14ac:dyDescent="0.2">
      <c r="A7" t="s">
        <v>9</v>
      </c>
      <c r="B7">
        <v>0</v>
      </c>
      <c r="C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E2DA-591E-F04C-B86A-E96643E6B1E4}">
  <dimension ref="A1:Q115"/>
  <sheetViews>
    <sheetView topLeftCell="C59" zoomScale="207" workbookViewId="0">
      <selection activeCell="F55" sqref="F55:G55"/>
    </sheetView>
  </sheetViews>
  <sheetFormatPr baseColWidth="10" defaultRowHeight="16" x14ac:dyDescent="0.2"/>
  <cols>
    <col min="2" max="2" width="15.33203125" customWidth="1"/>
    <col min="3" max="3" width="16" customWidth="1"/>
    <col min="4" max="4" width="19.6640625" customWidth="1"/>
    <col min="5" max="5" width="13.1640625" customWidth="1"/>
    <col min="6" max="6" width="11.5" customWidth="1"/>
    <col min="7" max="7" width="11.33203125" customWidth="1"/>
    <col min="11" max="11" width="19.5" customWidth="1"/>
  </cols>
  <sheetData>
    <row r="1" spans="1:13" x14ac:dyDescent="0.2">
      <c r="A1" t="s">
        <v>24</v>
      </c>
      <c r="B1" t="s">
        <v>32</v>
      </c>
      <c r="C1" t="s">
        <v>33</v>
      </c>
      <c r="D1" s="10" t="s">
        <v>41</v>
      </c>
      <c r="E1" s="10"/>
      <c r="F1" s="10" t="s">
        <v>42</v>
      </c>
      <c r="G1" s="10"/>
      <c r="H1" s="10" t="s">
        <v>43</v>
      </c>
      <c r="I1" s="10"/>
      <c r="K1" t="s">
        <v>96</v>
      </c>
    </row>
    <row r="2" spans="1:13" x14ac:dyDescent="0.2">
      <c r="A2" t="s">
        <v>34</v>
      </c>
      <c r="B2" t="s">
        <v>35</v>
      </c>
      <c r="C2" t="s">
        <v>36</v>
      </c>
      <c r="D2" t="s">
        <v>37</v>
      </c>
      <c r="E2" t="s">
        <v>38</v>
      </c>
    </row>
    <row r="3" spans="1:13" x14ac:dyDescent="0.2">
      <c r="A3" t="s">
        <v>39</v>
      </c>
      <c r="B3">
        <v>1208.8399999999999</v>
      </c>
      <c r="C3">
        <v>1571.34</v>
      </c>
      <c r="D3">
        <v>2361.14</v>
      </c>
      <c r="E3">
        <v>2660.54</v>
      </c>
      <c r="F3">
        <v>2793.68</v>
      </c>
      <c r="G3">
        <v>2782.84</v>
      </c>
      <c r="H3">
        <v>3452.22</v>
      </c>
      <c r="I3">
        <v>3257.3</v>
      </c>
      <c r="J3">
        <v>2882.42</v>
      </c>
      <c r="K3">
        <v>2412.81</v>
      </c>
      <c r="L3">
        <v>2149.12</v>
      </c>
      <c r="M3">
        <v>1352.9</v>
      </c>
    </row>
    <row r="4" spans="1:13" x14ac:dyDescent="0.2">
      <c r="A4" t="s">
        <v>40</v>
      </c>
      <c r="B4">
        <v>1370.26</v>
      </c>
      <c r="C4">
        <v>1834.1</v>
      </c>
      <c r="D4">
        <v>2320.98</v>
      </c>
      <c r="E4">
        <v>2660.54</v>
      </c>
      <c r="F4">
        <v>2737.02</v>
      </c>
      <c r="G4">
        <v>2946.53</v>
      </c>
      <c r="H4">
        <v>3331.4</v>
      </c>
      <c r="I4">
        <v>3415.91</v>
      </c>
      <c r="J4">
        <v>3047.5</v>
      </c>
      <c r="K4">
        <v>2180.5500000000002</v>
      </c>
      <c r="L4">
        <v>1704.37</v>
      </c>
      <c r="M4">
        <v>1370.66</v>
      </c>
    </row>
    <row r="10" spans="1:13" x14ac:dyDescent="0.2">
      <c r="A10" t="s">
        <v>25</v>
      </c>
      <c r="B10" t="s">
        <v>44</v>
      </c>
      <c r="C10" t="s">
        <v>33</v>
      </c>
      <c r="D10" s="10" t="s">
        <v>45</v>
      </c>
      <c r="E10" s="10"/>
      <c r="F10" s="10" t="s">
        <v>46</v>
      </c>
      <c r="G10" s="10"/>
      <c r="H10" s="10" t="s">
        <v>47</v>
      </c>
      <c r="I10" s="10"/>
      <c r="K10" t="s">
        <v>96</v>
      </c>
    </row>
    <row r="11" spans="1:13" x14ac:dyDescent="0.2">
      <c r="A11" t="s">
        <v>34</v>
      </c>
      <c r="B11" t="s">
        <v>35</v>
      </c>
      <c r="C11" t="s">
        <v>36</v>
      </c>
      <c r="D11" t="s">
        <v>37</v>
      </c>
      <c r="E11" t="s">
        <v>38</v>
      </c>
    </row>
    <row r="12" spans="1:13" x14ac:dyDescent="0.2">
      <c r="A12" t="s">
        <v>39</v>
      </c>
      <c r="B12">
        <v>2496.61</v>
      </c>
      <c r="C12">
        <v>3256.98</v>
      </c>
      <c r="D12">
        <v>4898.12</v>
      </c>
      <c r="E12">
        <v>5465.29</v>
      </c>
      <c r="F12">
        <v>5614.7</v>
      </c>
      <c r="G12">
        <v>5578.79</v>
      </c>
      <c r="H12">
        <v>6933.1</v>
      </c>
      <c r="I12">
        <v>6581.73</v>
      </c>
      <c r="J12">
        <v>5893.99</v>
      </c>
      <c r="K12">
        <v>4954.63</v>
      </c>
      <c r="L12">
        <v>4399.5</v>
      </c>
      <c r="M12">
        <v>2728.55</v>
      </c>
    </row>
    <row r="13" spans="1:13" x14ac:dyDescent="0.2">
      <c r="A13" t="s">
        <v>40</v>
      </c>
      <c r="B13">
        <v>2781.87</v>
      </c>
      <c r="C13">
        <v>3754.57</v>
      </c>
      <c r="D13">
        <v>4695.42</v>
      </c>
      <c r="E13">
        <v>5414.22</v>
      </c>
      <c r="F13">
        <v>5503.04</v>
      </c>
      <c r="G13">
        <v>5922.27</v>
      </c>
      <c r="H13">
        <v>6703.18</v>
      </c>
      <c r="I13">
        <v>6900.52</v>
      </c>
      <c r="J13">
        <v>6196.14</v>
      </c>
      <c r="K13">
        <v>4444.3900000000003</v>
      </c>
      <c r="L13">
        <v>3443.33</v>
      </c>
      <c r="M13">
        <v>2790.84</v>
      </c>
    </row>
    <row r="19" spans="1:13" x14ac:dyDescent="0.2">
      <c r="A19" t="s">
        <v>48</v>
      </c>
      <c r="B19" t="s">
        <v>50</v>
      </c>
      <c r="C19" t="s">
        <v>33</v>
      </c>
      <c r="D19" s="10" t="s">
        <v>49</v>
      </c>
      <c r="E19" s="10"/>
      <c r="F19" s="10" t="s">
        <v>51</v>
      </c>
      <c r="G19" s="10"/>
      <c r="H19" s="10" t="s">
        <v>52</v>
      </c>
      <c r="I19" s="10"/>
    </row>
    <row r="20" spans="1:13" x14ac:dyDescent="0.2">
      <c r="A20" t="s">
        <v>34</v>
      </c>
      <c r="B20" t="s">
        <v>35</v>
      </c>
      <c r="C20" t="s">
        <v>36</v>
      </c>
      <c r="D20" t="s">
        <v>37</v>
      </c>
      <c r="E20" t="s">
        <v>38</v>
      </c>
    </row>
    <row r="21" spans="1:13" x14ac:dyDescent="0.2">
      <c r="A21" t="s">
        <v>39</v>
      </c>
      <c r="B21">
        <v>6225.68</v>
      </c>
      <c r="C21">
        <v>8113.14</v>
      </c>
      <c r="D21">
        <v>12214.4</v>
      </c>
      <c r="E21">
        <v>13608.4</v>
      </c>
      <c r="F21">
        <v>13980.4</v>
      </c>
      <c r="G21">
        <v>13890.9</v>
      </c>
      <c r="H21">
        <v>17263</v>
      </c>
      <c r="I21">
        <v>16388.2</v>
      </c>
      <c r="J21">
        <v>14675.9</v>
      </c>
      <c r="K21">
        <v>12337.1</v>
      </c>
      <c r="L21">
        <v>10955</v>
      </c>
      <c r="M21">
        <v>6794.68</v>
      </c>
    </row>
    <row r="22" spans="1:13" x14ac:dyDescent="0.2">
      <c r="A22" t="s">
        <v>40</v>
      </c>
      <c r="B22">
        <v>6951.21</v>
      </c>
      <c r="C22">
        <v>9712.35</v>
      </c>
      <c r="D22">
        <v>11854.7</v>
      </c>
      <c r="E22">
        <v>13608.4</v>
      </c>
      <c r="F22">
        <v>13709.5</v>
      </c>
      <c r="G22">
        <v>14746.1</v>
      </c>
      <c r="H22">
        <v>16690.7</v>
      </c>
      <c r="I22">
        <v>17185.599999999999</v>
      </c>
      <c r="J22">
        <v>15491.7</v>
      </c>
      <c r="K22">
        <v>11216.9</v>
      </c>
      <c r="L22">
        <v>8597.34</v>
      </c>
      <c r="M22">
        <v>7025.7</v>
      </c>
    </row>
    <row r="28" spans="1:13" x14ac:dyDescent="0.2">
      <c r="A28" t="s">
        <v>53</v>
      </c>
      <c r="B28" t="s">
        <v>54</v>
      </c>
      <c r="C28" t="s">
        <v>33</v>
      </c>
      <c r="D28" s="10" t="s">
        <v>55</v>
      </c>
      <c r="E28" s="10"/>
      <c r="F28" s="10" t="s">
        <v>56</v>
      </c>
      <c r="G28" s="10"/>
      <c r="H28" s="10" t="s">
        <v>57</v>
      </c>
      <c r="I28" s="10"/>
    </row>
    <row r="29" spans="1:13" x14ac:dyDescent="0.2">
      <c r="A29" t="s">
        <v>34</v>
      </c>
      <c r="B29" t="s">
        <v>35</v>
      </c>
      <c r="C29" t="s">
        <v>36</v>
      </c>
      <c r="D29" t="s">
        <v>37</v>
      </c>
      <c r="E29" t="s">
        <v>38</v>
      </c>
    </row>
    <row r="30" spans="1:13" x14ac:dyDescent="0.2">
      <c r="A30" t="s">
        <v>39</v>
      </c>
      <c r="B30">
        <v>11125.5</v>
      </c>
      <c r="C30">
        <v>14488</v>
      </c>
      <c r="D30">
        <v>21737.599999999999</v>
      </c>
      <c r="E30">
        <v>24437.7</v>
      </c>
      <c r="F30">
        <v>25165.5</v>
      </c>
      <c r="G30">
        <v>25004.5</v>
      </c>
      <c r="H30">
        <v>31074.2</v>
      </c>
      <c r="I30">
        <v>29497.200000000001</v>
      </c>
      <c r="J30">
        <v>26392.7</v>
      </c>
      <c r="K30">
        <v>22163.5</v>
      </c>
      <c r="L30">
        <v>19702</v>
      </c>
      <c r="M30">
        <v>12231.7</v>
      </c>
    </row>
    <row r="31" spans="1:13" x14ac:dyDescent="0.2">
      <c r="A31" t="s">
        <v>40</v>
      </c>
      <c r="B31">
        <v>12513</v>
      </c>
      <c r="C31">
        <v>17083.7</v>
      </c>
      <c r="D31">
        <v>21182.9</v>
      </c>
      <c r="E31">
        <v>24437.7</v>
      </c>
      <c r="F31">
        <v>24678</v>
      </c>
      <c r="G31">
        <v>26543.9</v>
      </c>
      <c r="H31">
        <v>30044.1</v>
      </c>
      <c r="I31">
        <v>30935</v>
      </c>
      <c r="J31">
        <v>27870.6</v>
      </c>
      <c r="K31">
        <v>20096.2</v>
      </c>
      <c r="L31">
        <v>15469.1</v>
      </c>
      <c r="M31">
        <v>12595.5</v>
      </c>
    </row>
    <row r="37" spans="1:13" x14ac:dyDescent="0.2">
      <c r="A37" t="s">
        <v>58</v>
      </c>
      <c r="B37" t="s">
        <v>63</v>
      </c>
      <c r="C37" t="s">
        <v>59</v>
      </c>
      <c r="D37" s="10" t="s">
        <v>67</v>
      </c>
      <c r="E37" s="10"/>
      <c r="F37" s="10" t="s">
        <v>68</v>
      </c>
      <c r="G37" s="10"/>
      <c r="H37" s="10" t="s">
        <v>69</v>
      </c>
      <c r="I37" s="10"/>
    </row>
    <row r="38" spans="1:13" x14ac:dyDescent="0.2">
      <c r="A38" t="s">
        <v>34</v>
      </c>
      <c r="B38" t="s">
        <v>35</v>
      </c>
      <c r="C38" t="s">
        <v>36</v>
      </c>
      <c r="D38" t="s">
        <v>37</v>
      </c>
      <c r="E38" t="s">
        <v>38</v>
      </c>
    </row>
    <row r="39" spans="1:13" x14ac:dyDescent="0.2">
      <c r="A39" t="s">
        <v>39</v>
      </c>
      <c r="B39">
        <v>41724.6</v>
      </c>
      <c r="C39">
        <v>52749.599999999999</v>
      </c>
      <c r="D39">
        <v>78851.199999999997</v>
      </c>
      <c r="E39">
        <v>88718.6</v>
      </c>
      <c r="F39">
        <v>93412.1</v>
      </c>
      <c r="G39">
        <v>93285.5</v>
      </c>
      <c r="H39">
        <v>115097</v>
      </c>
      <c r="I39">
        <v>108175</v>
      </c>
      <c r="J39">
        <v>95472.5</v>
      </c>
      <c r="K39">
        <v>79785.600000000006</v>
      </c>
      <c r="L39">
        <v>70950</v>
      </c>
      <c r="M39">
        <v>44572.6</v>
      </c>
    </row>
    <row r="40" spans="1:13" x14ac:dyDescent="0.2">
      <c r="A40" t="s">
        <v>40</v>
      </c>
      <c r="B40">
        <v>45568.9</v>
      </c>
      <c r="C40">
        <v>61377</v>
      </c>
      <c r="D40">
        <v>77052.5</v>
      </c>
      <c r="E40">
        <v>88718.6</v>
      </c>
      <c r="F40">
        <v>91731.3</v>
      </c>
      <c r="G40">
        <v>98864</v>
      </c>
      <c r="H40">
        <v>111562</v>
      </c>
      <c r="I40">
        <v>113538</v>
      </c>
      <c r="J40">
        <v>100897</v>
      </c>
      <c r="K40">
        <v>72257.3</v>
      </c>
      <c r="L40">
        <v>56291.199999999997</v>
      </c>
      <c r="M40">
        <v>46052.7</v>
      </c>
    </row>
    <row r="46" spans="1:13" x14ac:dyDescent="0.2">
      <c r="A46" t="s">
        <v>60</v>
      </c>
      <c r="B46" t="s">
        <v>64</v>
      </c>
      <c r="C46" t="s">
        <v>59</v>
      </c>
      <c r="D46" s="10" t="s">
        <v>70</v>
      </c>
      <c r="E46" s="10"/>
      <c r="F46" s="10" t="s">
        <v>71</v>
      </c>
      <c r="G46" s="10"/>
      <c r="H46" s="10" t="s">
        <v>72</v>
      </c>
      <c r="I46" s="10"/>
    </row>
    <row r="47" spans="1:13" x14ac:dyDescent="0.2">
      <c r="A47" t="s">
        <v>34</v>
      </c>
      <c r="B47" t="s">
        <v>35</v>
      </c>
      <c r="C47" t="s">
        <v>36</v>
      </c>
      <c r="D47" t="s">
        <v>37</v>
      </c>
      <c r="E47" t="s">
        <v>38</v>
      </c>
    </row>
    <row r="48" spans="1:13" x14ac:dyDescent="0.2">
      <c r="A48" t="s">
        <v>39</v>
      </c>
      <c r="B48">
        <v>83449.2</v>
      </c>
      <c r="C48">
        <v>105499</v>
      </c>
      <c r="D48">
        <v>157702</v>
      </c>
      <c r="E48">
        <v>177437</v>
      </c>
      <c r="F48">
        <v>186824</v>
      </c>
      <c r="G48">
        <v>186571</v>
      </c>
      <c r="H48">
        <v>230195</v>
      </c>
      <c r="I48">
        <v>216351</v>
      </c>
      <c r="J48">
        <v>190945</v>
      </c>
      <c r="K48">
        <v>159571</v>
      </c>
      <c r="L48">
        <v>141900</v>
      </c>
      <c r="M48">
        <v>89145.1</v>
      </c>
    </row>
    <row r="49" spans="1:13" x14ac:dyDescent="0.2">
      <c r="A49" t="s">
        <v>40</v>
      </c>
      <c r="B49">
        <v>91137.7</v>
      </c>
      <c r="C49">
        <v>122754</v>
      </c>
      <c r="D49">
        <v>154105</v>
      </c>
      <c r="E49">
        <v>177437</v>
      </c>
      <c r="F49">
        <v>183463</v>
      </c>
      <c r="G49">
        <v>197728</v>
      </c>
      <c r="H49">
        <v>223123</v>
      </c>
      <c r="I49">
        <v>227076</v>
      </c>
      <c r="J49">
        <v>201793</v>
      </c>
      <c r="K49">
        <v>144515</v>
      </c>
      <c r="L49">
        <v>112582</v>
      </c>
      <c r="M49">
        <v>92105.4</v>
      </c>
    </row>
    <row r="55" spans="1:13" x14ac:dyDescent="0.2">
      <c r="A55" t="s">
        <v>61</v>
      </c>
      <c r="B55" t="s">
        <v>65</v>
      </c>
      <c r="C55" t="s">
        <v>59</v>
      </c>
      <c r="D55" s="10" t="s">
        <v>73</v>
      </c>
      <c r="E55" s="10"/>
      <c r="F55" s="10" t="s">
        <v>77</v>
      </c>
      <c r="G55" s="10"/>
      <c r="H55" s="10" t="s">
        <v>74</v>
      </c>
      <c r="I55" s="10"/>
    </row>
    <row r="56" spans="1:13" x14ac:dyDescent="0.2">
      <c r="A56" t="s">
        <v>34</v>
      </c>
      <c r="B56" t="s">
        <v>35</v>
      </c>
      <c r="C56" t="s">
        <v>36</v>
      </c>
      <c r="D56" t="s">
        <v>37</v>
      </c>
      <c r="E56" t="s">
        <v>38</v>
      </c>
    </row>
    <row r="57" spans="1:13" x14ac:dyDescent="0.2">
      <c r="A57" t="s">
        <v>39</v>
      </c>
      <c r="B57">
        <v>417246</v>
      </c>
      <c r="C57">
        <v>527496</v>
      </c>
      <c r="D57">
        <v>788512</v>
      </c>
      <c r="E57">
        <v>887186</v>
      </c>
      <c r="F57">
        <v>934121</v>
      </c>
      <c r="G57">
        <v>932855</v>
      </c>
      <c r="H57">
        <v>1150970</v>
      </c>
      <c r="I57">
        <v>1081750</v>
      </c>
      <c r="J57">
        <v>954725</v>
      </c>
      <c r="K57">
        <v>797856</v>
      </c>
      <c r="L57">
        <v>709500</v>
      </c>
      <c r="M57">
        <v>445726</v>
      </c>
    </row>
    <row r="58" spans="1:13" x14ac:dyDescent="0.2">
      <c r="A58" t="s">
        <v>40</v>
      </c>
      <c r="B58">
        <v>455689</v>
      </c>
      <c r="C58">
        <v>613770</v>
      </c>
      <c r="D58">
        <v>770525</v>
      </c>
      <c r="E58">
        <v>887186</v>
      </c>
      <c r="F58">
        <v>917313</v>
      </c>
      <c r="G58">
        <v>988640</v>
      </c>
      <c r="H58">
        <v>1115620</v>
      </c>
      <c r="I58">
        <v>1135380</v>
      </c>
      <c r="J58">
        <v>1008970</v>
      </c>
      <c r="K58">
        <v>722573</v>
      </c>
      <c r="L58">
        <v>562912</v>
      </c>
      <c r="M58">
        <v>460527</v>
      </c>
    </row>
    <row r="64" spans="1:13" x14ac:dyDescent="0.2">
      <c r="A64" t="s">
        <v>62</v>
      </c>
      <c r="B64" t="s">
        <v>66</v>
      </c>
      <c r="C64" t="s">
        <v>59</v>
      </c>
      <c r="D64" s="10" t="s">
        <v>76</v>
      </c>
      <c r="E64" s="10"/>
      <c r="F64" s="10" t="s">
        <v>78</v>
      </c>
      <c r="G64" s="10"/>
      <c r="H64" s="10" t="s">
        <v>75</v>
      </c>
      <c r="I64" s="10"/>
    </row>
    <row r="65" spans="1:17" x14ac:dyDescent="0.2">
      <c r="A65" t="s">
        <v>34</v>
      </c>
      <c r="B65" t="s">
        <v>35</v>
      </c>
      <c r="C65" t="s">
        <v>36</v>
      </c>
      <c r="D65" t="s">
        <v>37</v>
      </c>
      <c r="E65" t="s">
        <v>38</v>
      </c>
    </row>
    <row r="66" spans="1:17" x14ac:dyDescent="0.2">
      <c r="A66" t="s">
        <v>39</v>
      </c>
      <c r="B66">
        <v>834492</v>
      </c>
      <c r="C66">
        <v>1054990</v>
      </c>
      <c r="D66">
        <v>1577020</v>
      </c>
      <c r="E66">
        <v>1774370</v>
      </c>
      <c r="F66">
        <v>1868240</v>
      </c>
      <c r="G66">
        <v>1865710</v>
      </c>
      <c r="H66">
        <v>2301950</v>
      </c>
      <c r="I66">
        <v>2163510</v>
      </c>
      <c r="J66">
        <v>1909450</v>
      </c>
      <c r="K66">
        <v>1595710</v>
      </c>
      <c r="L66">
        <v>1419000</v>
      </c>
      <c r="M66">
        <v>891451</v>
      </c>
    </row>
    <row r="67" spans="1:17" x14ac:dyDescent="0.2">
      <c r="A67" t="s">
        <v>40</v>
      </c>
      <c r="B67">
        <v>911377</v>
      </c>
      <c r="C67">
        <v>1227540</v>
      </c>
      <c r="D67">
        <v>1541050</v>
      </c>
      <c r="E67">
        <v>1774370</v>
      </c>
      <c r="F67">
        <v>1834630</v>
      </c>
      <c r="G67">
        <v>1977280</v>
      </c>
      <c r="H67">
        <v>2231230</v>
      </c>
      <c r="I67">
        <v>2270760</v>
      </c>
      <c r="J67">
        <v>2017930</v>
      </c>
      <c r="K67">
        <v>1445150</v>
      </c>
      <c r="L67">
        <v>1125820</v>
      </c>
      <c r="M67">
        <v>921054</v>
      </c>
    </row>
    <row r="68" spans="1:17" x14ac:dyDescent="0.2">
      <c r="Q68" s="9"/>
    </row>
    <row r="71" spans="1:17" x14ac:dyDescent="0.2">
      <c r="P71" s="9"/>
    </row>
    <row r="72" spans="1:17" x14ac:dyDescent="0.2">
      <c r="P72" s="9"/>
    </row>
    <row r="75" spans="1:17" x14ac:dyDescent="0.2">
      <c r="B75" t="s">
        <v>79</v>
      </c>
      <c r="C75" t="s">
        <v>80</v>
      </c>
      <c r="D75" t="s">
        <v>81</v>
      </c>
      <c r="E75" t="s">
        <v>82</v>
      </c>
      <c r="I75" s="6" t="s">
        <v>83</v>
      </c>
      <c r="J75" t="s">
        <v>87</v>
      </c>
      <c r="K75" t="s">
        <v>88</v>
      </c>
      <c r="O75" s="9"/>
      <c r="Q75" s="9"/>
    </row>
    <row r="76" spans="1:17" x14ac:dyDescent="0.2">
      <c r="A76" t="s">
        <v>24</v>
      </c>
      <c r="B76">
        <f>SUM(B3:D3)</f>
        <v>5141.32</v>
      </c>
      <c r="C76">
        <f>SUM(E3:G3)</f>
        <v>8237.06</v>
      </c>
      <c r="D76">
        <f>SUM(H3:J3)</f>
        <v>9591.94</v>
      </c>
      <c r="E76">
        <f>SUM(K3:M3)</f>
        <v>5914.83</v>
      </c>
      <c r="F76" t="str">
        <f>_xlfn.TEXTJOIN(",", TRUE, B76, C76, D76, E76)</f>
        <v>5141.32,8237.06,9591.94,5914.83</v>
      </c>
      <c r="I76" s="4">
        <v>18.7</v>
      </c>
      <c r="J76" s="4">
        <v>20047.09</v>
      </c>
      <c r="K76">
        <f>I76*$C$95</f>
        <v>156.03754062836398</v>
      </c>
      <c r="O76" s="9"/>
      <c r="Q76" s="9"/>
    </row>
    <row r="77" spans="1:17" x14ac:dyDescent="0.2">
      <c r="A77" t="s">
        <v>25</v>
      </c>
      <c r="B77">
        <f>SUM(B12:D12)</f>
        <v>10651.71</v>
      </c>
      <c r="C77">
        <f>SUM(E12:G12)</f>
        <v>16658.78</v>
      </c>
      <c r="D77">
        <f>SUM(H12:J12)</f>
        <v>19408.82</v>
      </c>
      <c r="E77">
        <f>SUM(K12:M12)</f>
        <v>12082.68</v>
      </c>
      <c r="F77" t="str">
        <f t="shared" ref="F77:F83" si="0">_xlfn.TEXTJOIN(",", TRUE, B77, C77, D77, E77)</f>
        <v>10651.71,16658.78,19408.82,12082.68</v>
      </c>
      <c r="I77" s="4">
        <v>37.4</v>
      </c>
      <c r="J77" s="4">
        <v>32570.23</v>
      </c>
      <c r="K77">
        <f t="shared" ref="K77:K83" si="1">I77*$C$95</f>
        <v>312.07508125672797</v>
      </c>
      <c r="O77" s="9"/>
      <c r="Q77" s="9"/>
    </row>
    <row r="78" spans="1:17" x14ac:dyDescent="0.2">
      <c r="A78" t="s">
        <v>48</v>
      </c>
      <c r="B78">
        <f>SUM(B21:D21)</f>
        <v>26553.22</v>
      </c>
      <c r="C78">
        <f>SUM(E21:G21)</f>
        <v>41479.699999999997</v>
      </c>
      <c r="D78">
        <f>SUM(H21:J21)</f>
        <v>48327.1</v>
      </c>
      <c r="E78">
        <f>SUM(K21:M21)</f>
        <v>30086.78</v>
      </c>
      <c r="F78" t="str">
        <f t="shared" si="0"/>
        <v>26553.22,41479.7,48327.1,30086.78</v>
      </c>
      <c r="I78" s="4">
        <v>93.5</v>
      </c>
      <c r="J78" s="4">
        <v>59337.98</v>
      </c>
      <c r="K78">
        <f t="shared" si="1"/>
        <v>780.18770314181984</v>
      </c>
      <c r="O78" s="9"/>
      <c r="Q78" s="9"/>
    </row>
    <row r="79" spans="1:17" x14ac:dyDescent="0.2">
      <c r="A79" t="s">
        <v>53</v>
      </c>
      <c r="B79">
        <f>SUM(B30:D30)</f>
        <v>47351.1</v>
      </c>
      <c r="C79">
        <f>SUM(E30:G30)</f>
        <v>74607.7</v>
      </c>
      <c r="D79">
        <f>SUM(H30:J30)</f>
        <v>86964.1</v>
      </c>
      <c r="E79">
        <f>SUM(K30:M30)</f>
        <v>54097.2</v>
      </c>
      <c r="F79" t="str">
        <f t="shared" si="0"/>
        <v>47351.1,74607.7,86964.1,54097.2</v>
      </c>
      <c r="I79" s="4">
        <v>168.3</v>
      </c>
      <c r="J79" s="4">
        <v>88896.68</v>
      </c>
      <c r="K79">
        <f t="shared" si="1"/>
        <v>1404.3378656552759</v>
      </c>
      <c r="O79" s="9"/>
      <c r="Q79" s="9"/>
    </row>
    <row r="80" spans="1:17" x14ac:dyDescent="0.2">
      <c r="A80" t="s">
        <v>58</v>
      </c>
      <c r="B80">
        <f>SUM(B39:D39)</f>
        <v>173325.4</v>
      </c>
      <c r="C80">
        <f>SUM(E39:G39)</f>
        <v>275416.2</v>
      </c>
      <c r="D80">
        <f>SUM(H39:J39)</f>
        <v>318744.5</v>
      </c>
      <c r="E80">
        <f>SUM(K39:M39)</f>
        <v>195308.2</v>
      </c>
      <c r="F80" t="str">
        <f t="shared" si="0"/>
        <v>173325.4,275416.2,318744.5,195308.2</v>
      </c>
      <c r="I80" s="4">
        <v>600.6</v>
      </c>
      <c r="J80" s="4">
        <v>631742.35</v>
      </c>
      <c r="K80">
        <f t="shared" si="1"/>
        <v>5011.5586578286311</v>
      </c>
      <c r="O80" s="9"/>
      <c r="Q80" s="9"/>
    </row>
    <row r="81" spans="1:17" x14ac:dyDescent="0.2">
      <c r="A81" t="s">
        <v>60</v>
      </c>
      <c r="B81">
        <f>SUM(B48:D48)</f>
        <v>346650.2</v>
      </c>
      <c r="C81">
        <f>SUM(E48:G48)</f>
        <v>550832</v>
      </c>
      <c r="D81">
        <f>SUM(H48:J48)</f>
        <v>637491</v>
      </c>
      <c r="E81">
        <f>SUM(K48:M48)</f>
        <v>390616.1</v>
      </c>
      <c r="F81" t="str">
        <f t="shared" si="0"/>
        <v>346650.2,550832,637491,390616.1</v>
      </c>
      <c r="I81" s="4">
        <v>1201.2</v>
      </c>
      <c r="J81" s="4">
        <v>945275.96</v>
      </c>
      <c r="K81">
        <f t="shared" si="1"/>
        <v>10023.117315657262</v>
      </c>
      <c r="O81" s="9"/>
      <c r="Q81" s="9"/>
    </row>
    <row r="82" spans="1:17" x14ac:dyDescent="0.2">
      <c r="A82" t="s">
        <v>61</v>
      </c>
      <c r="B82">
        <f>SUM(B57:D57)</f>
        <v>1733254</v>
      </c>
      <c r="C82">
        <f>SUM(E57:G57)</f>
        <v>2754162</v>
      </c>
      <c r="D82">
        <f>SUM(H57:J57)</f>
        <v>3187445</v>
      </c>
      <c r="E82">
        <f>SUM(K57:M57)</f>
        <v>1953082</v>
      </c>
      <c r="F82" t="str">
        <f t="shared" si="0"/>
        <v>1733254,2754162,3187445,1953082</v>
      </c>
      <c r="I82" s="4">
        <v>6006</v>
      </c>
      <c r="J82" s="4">
        <v>3190170.44</v>
      </c>
      <c r="K82">
        <f t="shared" si="1"/>
        <v>50115.586578286311</v>
      </c>
      <c r="O82" s="9"/>
      <c r="Q82" s="9"/>
    </row>
    <row r="83" spans="1:17" x14ac:dyDescent="0.2">
      <c r="A83" t="s">
        <v>62</v>
      </c>
      <c r="B83">
        <f>SUM(B66:D66)</f>
        <v>3466502</v>
      </c>
      <c r="C83">
        <f>SUM(E66:G66)</f>
        <v>5508320</v>
      </c>
      <c r="D83">
        <f>SUM(H66:J66)</f>
        <v>6374910</v>
      </c>
      <c r="E83">
        <f>SUM(K66:M66)</f>
        <v>3906161</v>
      </c>
      <c r="F83" t="str">
        <f t="shared" si="0"/>
        <v>3466502,5508320,6374910,3906161</v>
      </c>
      <c r="I83" s="4">
        <v>12012</v>
      </c>
      <c r="J83" s="4">
        <v>5832190.2199999997</v>
      </c>
      <c r="K83">
        <f t="shared" si="1"/>
        <v>100231.17315657262</v>
      </c>
      <c r="O83" s="9"/>
      <c r="Q83" s="9"/>
    </row>
    <row r="84" spans="1:17" x14ac:dyDescent="0.2">
      <c r="O84" s="9"/>
      <c r="Q84" s="9"/>
    </row>
    <row r="86" spans="1:17" x14ac:dyDescent="0.2">
      <c r="I86" s="5"/>
    </row>
    <row r="87" spans="1:17" x14ac:dyDescent="0.2">
      <c r="G87" s="4"/>
      <c r="H87" s="4"/>
      <c r="I87" s="4"/>
      <c r="J87" s="4"/>
    </row>
    <row r="88" spans="1:17" x14ac:dyDescent="0.2">
      <c r="I88" s="4"/>
      <c r="J88" s="4"/>
      <c r="K88" s="4"/>
      <c r="L88" s="4"/>
    </row>
    <row r="89" spans="1:17" x14ac:dyDescent="0.2">
      <c r="F89" s="4"/>
      <c r="G89" s="4"/>
      <c r="H89" s="4"/>
      <c r="I89" s="4"/>
    </row>
    <row r="90" spans="1:17" x14ac:dyDescent="0.2">
      <c r="B90" s="10" t="s">
        <v>84</v>
      </c>
      <c r="C90" s="10"/>
      <c r="D90" s="10"/>
    </row>
    <row r="91" spans="1:17" x14ac:dyDescent="0.2">
      <c r="B91">
        <v>1.0756600000000001</v>
      </c>
      <c r="G91" s="4"/>
      <c r="H91" s="4"/>
      <c r="I91" s="4"/>
      <c r="J91" s="4"/>
    </row>
    <row r="93" spans="1:17" x14ac:dyDescent="0.2">
      <c r="C93" t="s">
        <v>85</v>
      </c>
    </row>
    <row r="94" spans="1:17" x14ac:dyDescent="0.2">
      <c r="C94">
        <v>7.7573336458901325</v>
      </c>
      <c r="D94" s="3" t="s">
        <v>31</v>
      </c>
    </row>
    <row r="95" spans="1:17" x14ac:dyDescent="0.2">
      <c r="C95">
        <f>C94*B91</f>
        <v>8.3442535095381807</v>
      </c>
      <c r="D95" s="3" t="s">
        <v>86</v>
      </c>
    </row>
    <row r="102" spans="2:10" x14ac:dyDescent="0.2">
      <c r="B102" t="s">
        <v>0</v>
      </c>
      <c r="C102" t="s">
        <v>24</v>
      </c>
      <c r="D102" t="s">
        <v>25</v>
      </c>
      <c r="E102" t="s">
        <v>48</v>
      </c>
      <c r="F102" t="s">
        <v>53</v>
      </c>
      <c r="G102" t="s">
        <v>58</v>
      </c>
      <c r="H102" t="s">
        <v>60</v>
      </c>
      <c r="I102" t="s">
        <v>61</v>
      </c>
      <c r="J102" t="s">
        <v>62</v>
      </c>
    </row>
    <row r="103" spans="2:10" x14ac:dyDescent="0.2">
      <c r="B103" t="s">
        <v>1</v>
      </c>
      <c r="C103" s="4">
        <v>20047.09</v>
      </c>
      <c r="D103" s="4">
        <v>32570.23</v>
      </c>
      <c r="E103" s="4">
        <v>59337.98</v>
      </c>
      <c r="F103" s="4">
        <v>88896.68</v>
      </c>
      <c r="G103" s="4">
        <v>631742.35</v>
      </c>
      <c r="H103" s="4">
        <v>945275.96</v>
      </c>
      <c r="I103" s="4">
        <v>3190170.44</v>
      </c>
      <c r="J103" s="4">
        <v>5832190.2199999997</v>
      </c>
    </row>
    <row r="104" spans="2:10" x14ac:dyDescent="0.2">
      <c r="B104" t="s">
        <v>2</v>
      </c>
      <c r="C104">
        <v>21.17</v>
      </c>
      <c r="D104">
        <v>21.17</v>
      </c>
      <c r="E104">
        <v>21.17</v>
      </c>
      <c r="F104">
        <v>21.17</v>
      </c>
      <c r="G104">
        <v>21.17</v>
      </c>
      <c r="H104">
        <v>21.17</v>
      </c>
      <c r="I104">
        <v>21.17</v>
      </c>
      <c r="J104">
        <v>21.17</v>
      </c>
    </row>
    <row r="105" spans="2:10" x14ac:dyDescent="0.2">
      <c r="B105" t="s">
        <v>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2:10" x14ac:dyDescent="0.2">
      <c r="B106" t="s">
        <v>4</v>
      </c>
      <c r="C106" t="s">
        <v>97</v>
      </c>
      <c r="D106" t="s">
        <v>98</v>
      </c>
      <c r="E106" t="s">
        <v>99</v>
      </c>
      <c r="F106" t="s">
        <v>100</v>
      </c>
      <c r="G106" t="s">
        <v>101</v>
      </c>
      <c r="H106" t="s">
        <v>102</v>
      </c>
      <c r="I106" t="s">
        <v>103</v>
      </c>
      <c r="J106" t="s">
        <v>104</v>
      </c>
    </row>
    <row r="107" spans="2:10" x14ac:dyDescent="0.2">
      <c r="B107" t="s">
        <v>5</v>
      </c>
      <c r="C107" t="s">
        <v>15</v>
      </c>
      <c r="D107" t="s">
        <v>15</v>
      </c>
      <c r="E107" t="s">
        <v>15</v>
      </c>
      <c r="F107" t="s">
        <v>15</v>
      </c>
      <c r="G107" t="s">
        <v>15</v>
      </c>
      <c r="H107" t="s">
        <v>15</v>
      </c>
      <c r="I107" t="s">
        <v>15</v>
      </c>
      <c r="J107" t="s">
        <v>15</v>
      </c>
    </row>
    <row r="108" spans="2:10" x14ac:dyDescent="0.2">
      <c r="B108" t="s">
        <v>16</v>
      </c>
      <c r="C108">
        <v>25</v>
      </c>
      <c r="D108">
        <v>25</v>
      </c>
      <c r="E108">
        <v>25</v>
      </c>
      <c r="F108">
        <v>25</v>
      </c>
      <c r="G108">
        <v>25</v>
      </c>
      <c r="H108">
        <v>25</v>
      </c>
      <c r="I108">
        <v>25</v>
      </c>
      <c r="J108">
        <v>25</v>
      </c>
    </row>
    <row r="109" spans="2:10" x14ac:dyDescent="0.2">
      <c r="B109" t="s">
        <v>18</v>
      </c>
      <c r="C109" t="s">
        <v>17</v>
      </c>
      <c r="D109" t="s">
        <v>17</v>
      </c>
      <c r="E109" t="s">
        <v>17</v>
      </c>
      <c r="F109" t="s">
        <v>17</v>
      </c>
      <c r="G109" t="s">
        <v>17</v>
      </c>
      <c r="H109" t="s">
        <v>17</v>
      </c>
      <c r="I109" t="s">
        <v>17</v>
      </c>
      <c r="J109" t="s">
        <v>17</v>
      </c>
    </row>
    <row r="110" spans="2:10" x14ac:dyDescent="0.2">
      <c r="B110" t="s">
        <v>19</v>
      </c>
      <c r="C110">
        <v>5.0000000000000001E-3</v>
      </c>
      <c r="D110">
        <v>5.0000000000000001E-3</v>
      </c>
      <c r="E110">
        <v>5.0000000000000001E-3</v>
      </c>
      <c r="F110">
        <v>5.0000000000000001E-3</v>
      </c>
      <c r="G110">
        <v>5.0000000000000001E-3</v>
      </c>
      <c r="H110">
        <v>5.0000000000000001E-3</v>
      </c>
      <c r="I110">
        <v>5.0000000000000001E-3</v>
      </c>
      <c r="J110">
        <v>5.0000000000000001E-3</v>
      </c>
    </row>
    <row r="111" spans="2:10" x14ac:dyDescent="0.2">
      <c r="B111" t="s">
        <v>20</v>
      </c>
      <c r="C111">
        <v>156.03754062836398</v>
      </c>
      <c r="D111">
        <v>312.07508125672797</v>
      </c>
      <c r="E111">
        <v>780.18770314181984</v>
      </c>
      <c r="F111" s="4">
        <v>1404.3378656552759</v>
      </c>
      <c r="G111" s="4">
        <v>5011.5586578286311</v>
      </c>
      <c r="H111" s="4">
        <v>10023.117315657262</v>
      </c>
      <c r="I111" s="4">
        <v>50115.586578286311</v>
      </c>
      <c r="J111" s="4">
        <v>100231.17315657262</v>
      </c>
    </row>
    <row r="112" spans="2:10" x14ac:dyDescent="0.2">
      <c r="B112" t="s">
        <v>21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</row>
    <row r="113" spans="2:10" x14ac:dyDescent="0.2">
      <c r="B113" t="s">
        <v>22</v>
      </c>
      <c r="C113">
        <v>2.5000000000000001E-2</v>
      </c>
      <c r="D113">
        <v>2.5000000000000001E-2</v>
      </c>
      <c r="E113">
        <v>2.5000000000000001E-2</v>
      </c>
      <c r="F113">
        <v>2.5000000000000001E-2</v>
      </c>
      <c r="G113">
        <v>2.5000000000000001E-2</v>
      </c>
      <c r="H113">
        <v>2.5000000000000001E-2</v>
      </c>
      <c r="I113">
        <v>2.5000000000000001E-2</v>
      </c>
      <c r="J113">
        <v>2.5000000000000001E-2</v>
      </c>
    </row>
    <row r="114" spans="2:10" x14ac:dyDescent="0.2">
      <c r="B114" t="s">
        <v>23</v>
      </c>
      <c r="C114" s="7">
        <f>C103</f>
        <v>20047.09</v>
      </c>
      <c r="D114" s="7">
        <f>D103</f>
        <v>32570.23</v>
      </c>
      <c r="E114" s="7">
        <f t="shared" ref="E114:J114" si="2">E103</f>
        <v>59337.98</v>
      </c>
      <c r="F114" s="7">
        <f t="shared" si="2"/>
        <v>88896.68</v>
      </c>
      <c r="G114" s="7">
        <f t="shared" si="2"/>
        <v>631742.35</v>
      </c>
      <c r="H114" s="7">
        <f t="shared" si="2"/>
        <v>945275.96</v>
      </c>
      <c r="I114" s="7">
        <f t="shared" si="2"/>
        <v>3190170.44</v>
      </c>
      <c r="J114" s="7">
        <f t="shared" si="2"/>
        <v>5832190.2199999997</v>
      </c>
    </row>
    <row r="115" spans="2:10" x14ac:dyDescent="0.2">
      <c r="B115" t="s">
        <v>26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</sheetData>
  <mergeCells count="25">
    <mergeCell ref="D19:E19"/>
    <mergeCell ref="H19:I19"/>
    <mergeCell ref="F19:G19"/>
    <mergeCell ref="D1:E1"/>
    <mergeCell ref="F1:G1"/>
    <mergeCell ref="H1:I1"/>
    <mergeCell ref="D10:E10"/>
    <mergeCell ref="F10:G10"/>
    <mergeCell ref="H10:I10"/>
    <mergeCell ref="D28:E28"/>
    <mergeCell ref="F28:G28"/>
    <mergeCell ref="H28:I28"/>
    <mergeCell ref="D37:E37"/>
    <mergeCell ref="F37:G37"/>
    <mergeCell ref="H37:I37"/>
    <mergeCell ref="D46:E46"/>
    <mergeCell ref="F46:G46"/>
    <mergeCell ref="H46:I46"/>
    <mergeCell ref="D55:E55"/>
    <mergeCell ref="H55:I55"/>
    <mergeCell ref="B90:D90"/>
    <mergeCell ref="H64:I64"/>
    <mergeCell ref="D64:E64"/>
    <mergeCell ref="F55:G55"/>
    <mergeCell ref="F64:G6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AB95-499B-884C-8EAD-AAE9CFA64804}">
  <dimension ref="A3:L73"/>
  <sheetViews>
    <sheetView zoomScale="114" zoomScaleNormal="100" workbookViewId="0">
      <selection activeCell="H16" sqref="H16"/>
    </sheetView>
  </sheetViews>
  <sheetFormatPr baseColWidth="10" defaultRowHeight="16" x14ac:dyDescent="0.2"/>
  <cols>
    <col min="5" max="5" width="10.83203125" customWidth="1"/>
  </cols>
  <sheetData>
    <row r="3" spans="2:4" x14ac:dyDescent="0.2">
      <c r="B3" s="8" t="s">
        <v>89</v>
      </c>
    </row>
    <row r="4" spans="2:4" x14ac:dyDescent="0.2">
      <c r="B4" s="8" t="s">
        <v>90</v>
      </c>
    </row>
    <row r="5" spans="2:4" x14ac:dyDescent="0.2">
      <c r="B5" s="8" t="s">
        <v>91</v>
      </c>
    </row>
    <row r="6" spans="2:4" x14ac:dyDescent="0.2">
      <c r="B6" s="8" t="s">
        <v>92</v>
      </c>
    </row>
    <row r="9" spans="2:4" x14ac:dyDescent="0.2">
      <c r="B9" s="8" t="s">
        <v>93</v>
      </c>
    </row>
    <row r="10" spans="2:4" x14ac:dyDescent="0.2">
      <c r="B10" s="8" t="s">
        <v>94</v>
      </c>
    </row>
    <row r="11" spans="2:4" x14ac:dyDescent="0.2">
      <c r="B11" s="8" t="s">
        <v>95</v>
      </c>
    </row>
    <row r="12" spans="2:4" x14ac:dyDescent="0.2">
      <c r="B12" s="8" t="s">
        <v>89</v>
      </c>
      <c r="C12" s="1"/>
    </row>
    <row r="14" spans="2:4" x14ac:dyDescent="0.2">
      <c r="D14" s="1"/>
    </row>
    <row r="30" spans="2:4" x14ac:dyDescent="0.2">
      <c r="B30" t="s">
        <v>27</v>
      </c>
    </row>
    <row r="32" spans="2:4" x14ac:dyDescent="0.2">
      <c r="B32" s="2"/>
      <c r="C32" s="2" t="s">
        <v>28</v>
      </c>
      <c r="D32" s="2" t="s">
        <v>29</v>
      </c>
    </row>
    <row r="33" spans="2:5" x14ac:dyDescent="0.2">
      <c r="B33" s="2" t="s">
        <v>30</v>
      </c>
      <c r="C33" s="2" t="s">
        <v>31</v>
      </c>
      <c r="D33" s="2" t="s">
        <v>31</v>
      </c>
    </row>
    <row r="34" spans="2:5" x14ac:dyDescent="0.2">
      <c r="B34" s="2">
        <v>2010</v>
      </c>
      <c r="C34" s="2">
        <v>27.1</v>
      </c>
      <c r="D34" s="2">
        <v>25.6</v>
      </c>
    </row>
    <row r="35" spans="2:5" x14ac:dyDescent="0.2">
      <c r="B35" s="2">
        <v>2011</v>
      </c>
      <c r="C35" s="2">
        <v>24</v>
      </c>
      <c r="D35" s="2">
        <v>23.5</v>
      </c>
      <c r="E35">
        <f>-LN(D35/D34)</f>
        <v>8.5591930335403507E-2</v>
      </c>
    </row>
    <row r="36" spans="2:5" x14ac:dyDescent="0.2">
      <c r="B36" s="2">
        <v>2012</v>
      </c>
      <c r="C36" s="2">
        <v>23.4</v>
      </c>
      <c r="D36" s="2">
        <v>18.2</v>
      </c>
      <c r="E36">
        <f t="shared" ref="E36:E46" si="0">-LN(D36/D35)</f>
        <v>0.25557882706736362</v>
      </c>
    </row>
    <row r="37" spans="2:5" x14ac:dyDescent="0.2">
      <c r="B37" s="2">
        <v>2013</v>
      </c>
      <c r="C37" s="2">
        <v>22.9</v>
      </c>
      <c r="D37" s="2">
        <v>15.4</v>
      </c>
      <c r="E37">
        <f t="shared" si="0"/>
        <v>0.16705408466316607</v>
      </c>
    </row>
    <row r="38" spans="2:5" x14ac:dyDescent="0.2">
      <c r="B38" s="2">
        <v>2014</v>
      </c>
      <c r="C38" s="2">
        <v>22.4</v>
      </c>
      <c r="D38" s="2">
        <v>13.7</v>
      </c>
      <c r="E38">
        <f t="shared" si="0"/>
        <v>0.11697167658550435</v>
      </c>
    </row>
    <row r="39" spans="2:5" x14ac:dyDescent="0.2">
      <c r="B39" s="2">
        <v>2015</v>
      </c>
      <c r="C39" s="2">
        <v>21.7</v>
      </c>
      <c r="D39" s="2">
        <v>12.4</v>
      </c>
      <c r="E39">
        <f t="shared" si="0"/>
        <v>9.9699360223087924E-2</v>
      </c>
    </row>
    <row r="40" spans="2:5" x14ac:dyDescent="0.2">
      <c r="B40" s="2">
        <v>2016</v>
      </c>
      <c r="C40" s="2">
        <v>21.1</v>
      </c>
      <c r="D40" s="2">
        <v>11.3</v>
      </c>
      <c r="E40">
        <f t="shared" si="0"/>
        <v>9.2893746892696208E-2</v>
      </c>
    </row>
    <row r="41" spans="2:5" x14ac:dyDescent="0.2">
      <c r="B41" s="2">
        <v>2017</v>
      </c>
      <c r="C41" s="2">
        <v>21.5</v>
      </c>
      <c r="D41" s="2">
        <v>10.9</v>
      </c>
      <c r="E41">
        <f t="shared" si="0"/>
        <v>3.6039936483196928E-2</v>
      </c>
    </row>
    <row r="42" spans="2:5" x14ac:dyDescent="0.2">
      <c r="B42" s="2">
        <v>2018</v>
      </c>
      <c r="C42" s="2">
        <v>20.100000000000001</v>
      </c>
      <c r="D42" s="2">
        <v>10.4</v>
      </c>
      <c r="E42">
        <f t="shared" si="0"/>
        <v>4.6956983087770979E-2</v>
      </c>
    </row>
    <row r="43" spans="2:5" x14ac:dyDescent="0.2">
      <c r="B43" s="2">
        <v>2019</v>
      </c>
      <c r="C43" s="2">
        <v>19.2</v>
      </c>
      <c r="D43" s="2">
        <v>9.9</v>
      </c>
      <c r="E43">
        <f t="shared" si="0"/>
        <v>4.9271049006782794E-2</v>
      </c>
    </row>
    <row r="44" spans="2:5" x14ac:dyDescent="0.2">
      <c r="B44" s="2">
        <v>2020</v>
      </c>
      <c r="C44" s="2">
        <v>18.2</v>
      </c>
      <c r="D44" s="2">
        <v>9.6</v>
      </c>
      <c r="E44">
        <f t="shared" si="0"/>
        <v>3.0771658666753774E-2</v>
      </c>
    </row>
    <row r="45" spans="2:5" x14ac:dyDescent="0.2">
      <c r="B45" s="2">
        <v>2021</v>
      </c>
      <c r="C45" s="2">
        <v>18.2</v>
      </c>
      <c r="D45" s="2">
        <v>9.6</v>
      </c>
      <c r="E45">
        <f t="shared" si="0"/>
        <v>0</v>
      </c>
    </row>
    <row r="46" spans="2:5" x14ac:dyDescent="0.2">
      <c r="B46" s="2">
        <v>2022</v>
      </c>
      <c r="C46" s="2">
        <v>17.8</v>
      </c>
      <c r="D46" s="2">
        <v>9.1999999999999993</v>
      </c>
      <c r="E46">
        <f t="shared" si="0"/>
        <v>4.2559614418796007E-2</v>
      </c>
    </row>
    <row r="47" spans="2:5" x14ac:dyDescent="0.2">
      <c r="D47">
        <f>D46*$F$50</f>
        <v>8.4479269375503723</v>
      </c>
    </row>
    <row r="48" spans="2:5" x14ac:dyDescent="0.2">
      <c r="D48">
        <f t="shared" ref="D48:D52" si="1">D47*$F$50</f>
        <v>7.7573336458901325</v>
      </c>
    </row>
    <row r="49" spans="1:10" x14ac:dyDescent="0.2">
      <c r="D49">
        <f t="shared" si="1"/>
        <v>7.1231943337696846</v>
      </c>
      <c r="F49">
        <f>AVERAGE(E35:E46)</f>
        <v>8.5282405619210189E-2</v>
      </c>
    </row>
    <row r="50" spans="1:10" x14ac:dyDescent="0.2">
      <c r="D50">
        <f t="shared" si="1"/>
        <v>6.5408940536585982</v>
      </c>
      <c r="F50">
        <f>EXP(-F49)</f>
        <v>0.91825292799460578</v>
      </c>
    </row>
    <row r="51" spans="1:10" x14ac:dyDescent="0.2">
      <c r="D51">
        <f t="shared" si="1"/>
        <v>6.0061951164745135</v>
      </c>
    </row>
    <row r="52" spans="1:10" x14ac:dyDescent="0.2">
      <c r="D52">
        <f t="shared" si="1"/>
        <v>5.5152062518096248</v>
      </c>
    </row>
    <row r="57" spans="1:10" x14ac:dyDescent="0.2">
      <c r="C57" t="s">
        <v>106</v>
      </c>
      <c r="D57" t="s">
        <v>111</v>
      </c>
      <c r="E57" t="s">
        <v>112</v>
      </c>
      <c r="F57" t="s">
        <v>113</v>
      </c>
      <c r="G57" t="s">
        <v>114</v>
      </c>
      <c r="H57" t="s">
        <v>115</v>
      </c>
      <c r="I57" t="s">
        <v>116</v>
      </c>
      <c r="J57" t="s">
        <v>117</v>
      </c>
    </row>
    <row r="58" spans="1:10" x14ac:dyDescent="0.2">
      <c r="A58" t="s">
        <v>107</v>
      </c>
      <c r="C58">
        <f>3179+1951</f>
        <v>5130</v>
      </c>
      <c r="D58">
        <f>6358+1952</f>
        <v>8310</v>
      </c>
      <c r="E58">
        <f>15895+3904</f>
        <v>19799</v>
      </c>
      <c r="F58">
        <f>28611+5856</f>
        <v>34467</v>
      </c>
      <c r="G58">
        <f>102102+11536</f>
        <v>113638</v>
      </c>
      <c r="H58">
        <f>204204+23072</f>
        <v>227276</v>
      </c>
      <c r="I58">
        <f>1021020+115360</f>
        <v>1136380</v>
      </c>
      <c r="J58">
        <f>2042040+230720</f>
        <v>2272760</v>
      </c>
    </row>
    <row r="59" spans="1:10" x14ac:dyDescent="0.2">
      <c r="A59" t="s">
        <v>108</v>
      </c>
      <c r="C59">
        <v>10941</v>
      </c>
      <c r="D59">
        <v>19651</v>
      </c>
      <c r="E59">
        <v>35396</v>
      </c>
      <c r="F59">
        <v>53924</v>
      </c>
      <c r="G59">
        <v>323503</v>
      </c>
      <c r="H59">
        <v>505567</v>
      </c>
      <c r="I59">
        <v>1966399</v>
      </c>
      <c r="J59">
        <v>3681480</v>
      </c>
    </row>
    <row r="60" spans="1:10" x14ac:dyDescent="0.2">
      <c r="A60" t="s">
        <v>109</v>
      </c>
      <c r="C60">
        <v>16989</v>
      </c>
      <c r="D60">
        <v>27601</v>
      </c>
      <c r="E60">
        <v>50286</v>
      </c>
      <c r="F60">
        <v>75336</v>
      </c>
      <c r="G60">
        <v>535374</v>
      </c>
      <c r="H60">
        <v>801081</v>
      </c>
      <c r="I60">
        <v>2703534</v>
      </c>
      <c r="J60">
        <v>4942534</v>
      </c>
    </row>
    <row r="61" spans="1:10" x14ac:dyDescent="0.2">
      <c r="A61" t="s">
        <v>110</v>
      </c>
      <c r="C61">
        <v>20047</v>
      </c>
      <c r="D61">
        <v>32570</v>
      </c>
      <c r="E61">
        <v>59338</v>
      </c>
      <c r="F61">
        <v>88897</v>
      </c>
      <c r="G61">
        <v>631742</v>
      </c>
      <c r="H61">
        <v>945276</v>
      </c>
      <c r="I61">
        <v>3190170</v>
      </c>
      <c r="J61">
        <v>5832190</v>
      </c>
    </row>
    <row r="65" spans="1:12" x14ac:dyDescent="0.2">
      <c r="A65" t="s">
        <v>107</v>
      </c>
      <c r="C65">
        <f>C58/C$61</f>
        <v>0.25589863820022946</v>
      </c>
      <c r="D65">
        <f t="shared" ref="D65:J65" si="2">D58/D$61</f>
        <v>0.25514276941971137</v>
      </c>
      <c r="E65">
        <f t="shared" si="2"/>
        <v>0.33366476793960026</v>
      </c>
      <c r="F65">
        <f t="shared" si="2"/>
        <v>0.38771837069867376</v>
      </c>
      <c r="G65">
        <f t="shared" si="2"/>
        <v>0.17988039421156105</v>
      </c>
      <c r="H65">
        <f t="shared" si="2"/>
        <v>0.24043348186138228</v>
      </c>
      <c r="I65">
        <f t="shared" si="2"/>
        <v>0.3562129917841369</v>
      </c>
      <c r="J65">
        <f t="shared" si="2"/>
        <v>0.38969237970642245</v>
      </c>
    </row>
    <row r="66" spans="1:12" x14ac:dyDescent="0.2">
      <c r="A66" t="s">
        <v>108</v>
      </c>
      <c r="C66">
        <f t="shared" ref="C66:J67" si="3">C59/C$61</f>
        <v>0.54576744650072329</v>
      </c>
      <c r="D66">
        <f t="shared" si="3"/>
        <v>0.60334663801043908</v>
      </c>
      <c r="E66">
        <f t="shared" si="3"/>
        <v>0.59651488085206783</v>
      </c>
      <c r="F66">
        <f t="shared" si="3"/>
        <v>0.60658964869455667</v>
      </c>
      <c r="G66">
        <f t="shared" si="3"/>
        <v>0.51208088111919103</v>
      </c>
      <c r="H66">
        <f t="shared" si="3"/>
        <v>0.53483532851780857</v>
      </c>
      <c r="I66">
        <f t="shared" si="3"/>
        <v>0.61639317026992291</v>
      </c>
      <c r="J66">
        <f t="shared" si="3"/>
        <v>0.63123457912036474</v>
      </c>
      <c r="K66">
        <f>AVERAGE(C66:J66)</f>
        <v>0.58084532163563429</v>
      </c>
      <c r="L66">
        <v>0.57999999999999996</v>
      </c>
    </row>
    <row r="67" spans="1:12" x14ac:dyDescent="0.2">
      <c r="A67" t="s">
        <v>109</v>
      </c>
      <c r="C67">
        <f t="shared" si="3"/>
        <v>0.84745847258941487</v>
      </c>
      <c r="D67">
        <f t="shared" si="3"/>
        <v>0.84743629106539764</v>
      </c>
      <c r="E67">
        <f t="shared" si="3"/>
        <v>0.84745020054602449</v>
      </c>
      <c r="F67">
        <f t="shared" si="3"/>
        <v>0.84745266994386759</v>
      </c>
      <c r="G67">
        <f t="shared" si="3"/>
        <v>0.8474567149247636</v>
      </c>
      <c r="H67">
        <f t="shared" si="3"/>
        <v>0.84745725058078281</v>
      </c>
      <c r="I67">
        <f t="shared" si="3"/>
        <v>0.84745765899622905</v>
      </c>
      <c r="J67">
        <f t="shared" si="3"/>
        <v>0.84745764455547568</v>
      </c>
    </row>
    <row r="72" spans="1:12" x14ac:dyDescent="0.2">
      <c r="K72">
        <f>1-K66</f>
        <v>0.41915467836436571</v>
      </c>
      <c r="L72">
        <f>1-L66</f>
        <v>0.42000000000000004</v>
      </c>
    </row>
    <row r="73" spans="1:12" x14ac:dyDescent="0.2">
      <c r="K73">
        <f>K72/25</f>
        <v>1.6766187134574628E-2</v>
      </c>
      <c r="L73">
        <f>L72/25</f>
        <v>1.6800000000000002E-2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Initial values</vt:lpstr>
      <vt:lpstr>Initial values season</vt:lpstr>
      <vt:lpstr>Advancements3</vt:lpstr>
      <vt:lpstr>Advancements2</vt:lpstr>
      <vt:lpstr>Extras1</vt:lpstr>
      <vt:lpstr>Extras2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Emir Şener</dc:creator>
  <cp:lastModifiedBy>Ahmet Emir Şener</cp:lastModifiedBy>
  <dcterms:created xsi:type="dcterms:W3CDTF">2024-07-31T20:05:29Z</dcterms:created>
  <dcterms:modified xsi:type="dcterms:W3CDTF">2024-12-21T17:46:54Z</dcterms:modified>
</cp:coreProperties>
</file>