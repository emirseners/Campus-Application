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Campus-Application/Data/"/>
    </mc:Choice>
  </mc:AlternateContent>
  <xr:revisionPtr revIDLastSave="0" documentId="13_ncr:1_{F7F17DC1-4CE4-A142-B6A7-205B5A44D0D0}" xr6:coauthVersionLast="47" xr6:coauthVersionMax="47" xr10:uidLastSave="{00000000-0000-0000-0000-000000000000}"/>
  <bookViews>
    <workbookView xWindow="0" yWindow="0" windowWidth="28800" windowHeight="18000" activeTab="3" xr2:uid="{EDF38AB8-B67A-6545-84A8-C231FAB8949A}"/>
  </bookViews>
  <sheets>
    <sheet name="Initial values" sheetId="7" r:id="rId1"/>
    <sheet name="Initial values seasonal" sheetId="1" r:id="rId2"/>
    <sheet name="Advancements3" sheetId="2" r:id="rId3"/>
    <sheet name="Advancements2" sheetId="5" r:id="rId4"/>
    <sheet name="Extras1" sheetId="4" r:id="rId5"/>
    <sheet name="Extras2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3" i="3" l="1"/>
  <c r="C8" i="7"/>
  <c r="D8" i="7"/>
  <c r="E8" i="7"/>
  <c r="F8" i="7"/>
  <c r="G8" i="7"/>
  <c r="B8" i="7"/>
  <c r="G9" i="7"/>
  <c r="F9" i="7"/>
  <c r="E9" i="7"/>
  <c r="D9" i="7"/>
  <c r="C9" i="7"/>
  <c r="B9" i="7"/>
  <c r="G11" i="1"/>
  <c r="F11" i="1"/>
  <c r="C11" i="1"/>
  <c r="B11" i="1"/>
  <c r="D11" i="1"/>
  <c r="E11" i="1"/>
  <c r="L72" i="3"/>
  <c r="K73" i="3"/>
  <c r="K72" i="3"/>
  <c r="K66" i="3"/>
  <c r="D65" i="3"/>
  <c r="E65" i="3"/>
  <c r="F65" i="3"/>
  <c r="G65" i="3"/>
  <c r="H65" i="3"/>
  <c r="I65" i="3"/>
  <c r="J65" i="3"/>
  <c r="D66" i="3"/>
  <c r="E66" i="3"/>
  <c r="F66" i="3"/>
  <c r="G66" i="3"/>
  <c r="H66" i="3"/>
  <c r="I66" i="3"/>
  <c r="J66" i="3"/>
  <c r="D67" i="3"/>
  <c r="E67" i="3"/>
  <c r="F67" i="3"/>
  <c r="G67" i="3"/>
  <c r="H67" i="3"/>
  <c r="I67" i="3"/>
  <c r="J67" i="3"/>
  <c r="C66" i="3"/>
  <c r="C67" i="3"/>
  <c r="C65" i="3"/>
  <c r="J58" i="3"/>
  <c r="I58" i="3" l="1"/>
  <c r="H58" i="3" l="1"/>
  <c r="G58" i="3" l="1"/>
  <c r="F58" i="3" l="1"/>
  <c r="E58" i="3" l="1"/>
  <c r="D58" i="3" l="1"/>
  <c r="C58" i="3" l="1"/>
  <c r="F50" i="3" l="1"/>
  <c r="D47" i="3" s="1"/>
  <c r="C114" i="4"/>
  <c r="E114" i="4"/>
  <c r="F114" i="4"/>
  <c r="J114" i="4"/>
  <c r="I114" i="4"/>
  <c r="H114" i="4"/>
  <c r="G114" i="4"/>
  <c r="D114" i="4"/>
  <c r="E83" i="4"/>
  <c r="D83" i="4"/>
  <c r="C83" i="4"/>
  <c r="B83" i="4"/>
  <c r="K77" i="4" l="1"/>
  <c r="K78" i="4"/>
  <c r="K79" i="4"/>
  <c r="K80" i="4"/>
  <c r="K81" i="4"/>
  <c r="K82" i="4"/>
  <c r="K83" i="4"/>
  <c r="K76" i="4"/>
  <c r="C95" i="4"/>
  <c r="E82" i="4" l="1"/>
  <c r="E81" i="4"/>
  <c r="E80" i="4"/>
  <c r="E79" i="4"/>
  <c r="E78" i="4"/>
  <c r="E77" i="4"/>
  <c r="D82" i="4"/>
  <c r="D81" i="4"/>
  <c r="D80" i="4"/>
  <c r="D79" i="4"/>
  <c r="D78" i="4"/>
  <c r="C82" i="4"/>
  <c r="C81" i="4"/>
  <c r="C80" i="4"/>
  <c r="C79" i="4"/>
  <c r="C78" i="4"/>
  <c r="F83" i="4"/>
  <c r="B82" i="4"/>
  <c r="F82" i="4" s="1"/>
  <c r="B81" i="4"/>
  <c r="F81" i="4" s="1"/>
  <c r="B80" i="4"/>
  <c r="F80" i="4" s="1"/>
  <c r="B79" i="4"/>
  <c r="B78" i="4"/>
  <c r="D77" i="4"/>
  <c r="C77" i="4"/>
  <c r="B77" i="4"/>
  <c r="F77" i="4" s="1"/>
  <c r="E76" i="4"/>
  <c r="D76" i="4"/>
  <c r="C76" i="4"/>
  <c r="B76" i="4"/>
  <c r="D48" i="3"/>
  <c r="D49" i="3" s="1"/>
  <c r="D50" i="3" s="1"/>
  <c r="D51" i="3" s="1"/>
  <c r="D52" i="3" s="1"/>
  <c r="E46" i="3"/>
  <c r="E45" i="3"/>
  <c r="E44" i="3"/>
  <c r="E43" i="3"/>
  <c r="E42" i="3"/>
  <c r="E41" i="3"/>
  <c r="E40" i="3"/>
  <c r="E39" i="3"/>
  <c r="E38" i="3"/>
  <c r="E37" i="3"/>
  <c r="E36" i="3"/>
  <c r="E35" i="3"/>
  <c r="F49" i="3" s="1"/>
  <c r="F79" i="4" l="1"/>
  <c r="F78" i="4"/>
  <c r="F76" i="4"/>
</calcChain>
</file>

<file path=xl/sharedStrings.xml><?xml version="1.0" encoding="utf-8"?>
<sst xmlns="http://schemas.openxmlformats.org/spreadsheetml/2006/main" count="262" uniqueCount="119">
  <si>
    <t>Metrics</t>
  </si>
  <si>
    <t>Initial Cost</t>
  </si>
  <si>
    <t>Initial Efficiency</t>
  </si>
  <si>
    <t>Initial Emission</t>
  </si>
  <si>
    <t>Periodic Electricity Production</t>
  </si>
  <si>
    <t>Periodic Thermal Production</t>
  </si>
  <si>
    <t>Probabilities</t>
  </si>
  <si>
    <t>Cost Multiplier</t>
  </si>
  <si>
    <t>Efficiency Multiplier</t>
  </si>
  <si>
    <t>Emission Multiplier</t>
  </si>
  <si>
    <t>Cost Ratio</t>
  </si>
  <si>
    <t>Efficiency Ratio</t>
  </si>
  <si>
    <t>Scenario1</t>
  </si>
  <si>
    <t>Scenario2</t>
  </si>
  <si>
    <t>Scenario3</t>
  </si>
  <si>
    <t>0,0,0,0</t>
  </si>
  <si>
    <t>Lifetime</t>
  </si>
  <si>
    <t>Clean</t>
  </si>
  <si>
    <t>Segment</t>
  </si>
  <si>
    <t>Degradation rate</t>
  </si>
  <si>
    <t>Initial O&amp;M cost</t>
  </si>
  <si>
    <t>O&amp;M cost change by age</t>
  </si>
  <si>
    <t>Depreciation rate</t>
  </si>
  <si>
    <t>Initial tech salvage value</t>
  </si>
  <si>
    <t>Version1</t>
  </si>
  <si>
    <t>Version2</t>
  </si>
  <si>
    <t>Initial Amount</t>
  </si>
  <si>
    <t>O&amp;M costs</t>
  </si>
  <si>
    <t>OECD</t>
  </si>
  <si>
    <t>Non-OECD</t>
  </si>
  <si>
    <t>Year</t>
  </si>
  <si>
    <t>2022 USD/kW/year</t>
  </si>
  <si>
    <t>100m^2 çatı</t>
  </si>
  <si>
    <t>Alfas 550wp</t>
  </si>
  <si>
    <t>Output:</t>
  </si>
  <si>
    <t>jan</t>
  </si>
  <si>
    <t>feb</t>
  </si>
  <si>
    <t>march</t>
  </si>
  <si>
    <t>april</t>
  </si>
  <si>
    <t>2022 tmy</t>
  </si>
  <si>
    <t>2014 tmy</t>
  </si>
  <si>
    <t>15kWe 1 adet Huawei inverter</t>
  </si>
  <si>
    <t>88.33 m^2 module area</t>
  </si>
  <si>
    <t>17,2 string in paralel</t>
  </si>
  <si>
    <t>200m^2 çatı</t>
  </si>
  <si>
    <t>36kWe 1 adet Huawei inverter</t>
  </si>
  <si>
    <t>176.66 m^2 module area</t>
  </si>
  <si>
    <t>17,4 string in paralel</t>
  </si>
  <si>
    <t>Version3</t>
  </si>
  <si>
    <t>50kWe 2 adet Huawei inverter</t>
  </si>
  <si>
    <t>500m^2 çatı</t>
  </si>
  <si>
    <t>441.650 m^2 module area</t>
  </si>
  <si>
    <t>17,10 string in paralel</t>
  </si>
  <si>
    <t>Version4</t>
  </si>
  <si>
    <t>1000m^2 çatı</t>
  </si>
  <si>
    <t>50kWe 3 adet Huawei inverter</t>
  </si>
  <si>
    <t>794.97 m^2 module area</t>
  </si>
  <si>
    <t>17,18 string in paralel</t>
  </si>
  <si>
    <t>Version5</t>
  </si>
  <si>
    <t>Alfas BF 550wp</t>
  </si>
  <si>
    <t>Version6</t>
  </si>
  <si>
    <t>Version7</t>
  </si>
  <si>
    <t>Version8</t>
  </si>
  <si>
    <t>5000m^2 arazi</t>
  </si>
  <si>
    <t>10000m^2 arazi</t>
  </si>
  <si>
    <t>50000m^2 arazi</t>
  </si>
  <si>
    <t>100000m^2 arazi</t>
  </si>
  <si>
    <t>250kWe 2 adet Sungrow inverter</t>
  </si>
  <si>
    <t>2836.95 m^2 module area</t>
  </si>
  <si>
    <t>26,42 string in paralel</t>
  </si>
  <si>
    <t>250kWe 4 adet Sungrow inverter</t>
  </si>
  <si>
    <t>5673.9 m^2 module area</t>
  </si>
  <si>
    <t>26,84 string in paralel</t>
  </si>
  <si>
    <t>250kWe 20 adet Sungrow inverter</t>
  </si>
  <si>
    <t>26,420 string in paralel</t>
  </si>
  <si>
    <t>26,840 string in paralel</t>
  </si>
  <si>
    <t>250kWe 40 adet Sungrow inverter</t>
  </si>
  <si>
    <t>28369.5 m^2 module area</t>
  </si>
  <si>
    <t>56739 m^2 module area</t>
  </si>
  <si>
    <t>Q1</t>
  </si>
  <si>
    <t>Q2</t>
  </si>
  <si>
    <t>Q3</t>
  </si>
  <si>
    <t>Q4</t>
  </si>
  <si>
    <t>DC / kWp</t>
  </si>
  <si>
    <t>Cumulative rate of inflation from 2022 to 2024</t>
  </si>
  <si>
    <t>2024 O&amp;M Cost</t>
  </si>
  <si>
    <t>2024 USD/kW/year</t>
  </si>
  <si>
    <t>Cost 2024$</t>
  </si>
  <si>
    <t>O&amp;M Cost 2024$/year</t>
  </si>
  <si>
    <t>'''</t>
  </si>
  <si>
    <t>x[0,0] = 0.026959580160185622 x[1,0] = 0.15575314059699774</t>
  </si>
  <si>
    <t>x[0,1] = 0.04153221735783926 x[1,1] = 0.07096033911903228</t>
  </si>
  <si>
    <t>x[0,2] = 0.0008102735237576885 x[1,2] = 0.019499099067965004</t>
  </si>
  <si>
    <t>Geometric median: [0.02661469 0.1556113 ]</t>
  </si>
  <si>
    <t>Geometric median: [0.041811 0.07124102]</t>
  </si>
  <si>
    <t>Geometric median: [0.00039564 0.01923379]</t>
  </si>
  <si>
    <t>2 MPPT</t>
  </si>
  <si>
    <t>5141.32,8237.06,9591.94,5914.83</t>
  </si>
  <si>
    <t>10651.71,16658.78,19408.82,12082.68</t>
  </si>
  <si>
    <t>26553.22,41479.7,48327.1,30086.78</t>
  </si>
  <si>
    <t>47351.1,74607.7,86964.1,54097.2</t>
  </si>
  <si>
    <t>173325.4,275416.2,318744.5,195308.2</t>
  </si>
  <si>
    <t>346650.2,550832,637491,390616.1</t>
  </si>
  <si>
    <t>1733254,2754162,3187445,1953082</t>
  </si>
  <si>
    <t>3466502,5508320,6374910,3906161</t>
  </si>
  <si>
    <t>O&amp;M cost change by year</t>
  </si>
  <si>
    <t>Çatı 1</t>
  </si>
  <si>
    <t>Panel + Inverter</t>
  </si>
  <si>
    <t>Malzeme Toplam</t>
  </si>
  <si>
    <t>Malzeme + İşçilik Toplam</t>
  </si>
  <si>
    <t>Kar Dahil</t>
  </si>
  <si>
    <t>Çatı 2</t>
  </si>
  <si>
    <t>Çatı 3</t>
  </si>
  <si>
    <t>Çatı 4</t>
  </si>
  <si>
    <t>Arazi 1</t>
  </si>
  <si>
    <t>Arazi 2</t>
  </si>
  <si>
    <t>Arazi 3</t>
  </si>
  <si>
    <t>Arazi 4</t>
  </si>
  <si>
    <t>Spatial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</si>
</sst>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448C27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2" fontId="2" fillId="0" borderId="0" xfId="0" applyNumberFormat="1" applyFont="1"/>
    <xf numFmtId="0" fontId="3" fillId="0" borderId="0" xfId="0" applyFont="1"/>
    <xf numFmtId="0" fontId="2" fillId="0" borderId="0" xfId="0" applyFont="1"/>
    <xf numFmtId="2" fontId="0" fillId="0" borderId="0" xfId="0" applyNumberFormat="1"/>
    <xf numFmtId="0" fontId="5" fillId="0" borderId="0" xfId="0" applyFont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Extras1!$B$3:$M$3</c:f>
              <c:numCache>
                <c:formatCode>General</c:formatCode>
                <c:ptCount val="12"/>
                <c:pt idx="0">
                  <c:v>1208.8399999999999</c:v>
                </c:pt>
                <c:pt idx="1">
                  <c:v>1571.34</c:v>
                </c:pt>
                <c:pt idx="2">
                  <c:v>2361.14</c:v>
                </c:pt>
                <c:pt idx="3">
                  <c:v>2660.54</c:v>
                </c:pt>
                <c:pt idx="4">
                  <c:v>2793.68</c:v>
                </c:pt>
                <c:pt idx="5">
                  <c:v>2782.84</c:v>
                </c:pt>
                <c:pt idx="6">
                  <c:v>3452.22</c:v>
                </c:pt>
                <c:pt idx="7">
                  <c:v>3257.3</c:v>
                </c:pt>
                <c:pt idx="8">
                  <c:v>2882.42</c:v>
                </c:pt>
                <c:pt idx="9">
                  <c:v>2412.81</c:v>
                </c:pt>
                <c:pt idx="10">
                  <c:v>2149.12</c:v>
                </c:pt>
                <c:pt idx="11">
                  <c:v>1352.9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F-B143-AAF1-43B7D17DA45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Extras1!$B$4:$M$4</c:f>
              <c:numCache>
                <c:formatCode>General</c:formatCode>
                <c:ptCount val="12"/>
                <c:pt idx="0">
                  <c:v>1370.26</c:v>
                </c:pt>
                <c:pt idx="1">
                  <c:v>1834.1</c:v>
                </c:pt>
                <c:pt idx="2">
                  <c:v>2320.98</c:v>
                </c:pt>
                <c:pt idx="3">
                  <c:v>2660.54</c:v>
                </c:pt>
                <c:pt idx="4">
                  <c:v>2737.02</c:v>
                </c:pt>
                <c:pt idx="5">
                  <c:v>2946.53</c:v>
                </c:pt>
                <c:pt idx="6">
                  <c:v>3331.4</c:v>
                </c:pt>
                <c:pt idx="7">
                  <c:v>3415.91</c:v>
                </c:pt>
                <c:pt idx="8">
                  <c:v>3047.5</c:v>
                </c:pt>
                <c:pt idx="9">
                  <c:v>2180.5500000000002</c:v>
                </c:pt>
                <c:pt idx="10">
                  <c:v>1704.37</c:v>
                </c:pt>
                <c:pt idx="11">
                  <c:v>1370.66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2F-B143-AAF1-43B7D17DA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922832"/>
        <c:axId val="418454880"/>
      </c:lineChart>
      <c:catAx>
        <c:axId val="46092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418454880"/>
        <c:crosses val="autoZero"/>
        <c:auto val="1"/>
        <c:lblAlgn val="ctr"/>
        <c:lblOffset val="100"/>
        <c:noMultiLvlLbl val="0"/>
      </c:catAx>
      <c:valAx>
        <c:axId val="4184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46092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PV</a:t>
            </a:r>
            <a:r>
              <a:rPr lang="en-US" baseline="0"/>
              <a:t> O&amp;M change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Extras2!$D$34:$D$46</c:f>
              <c:numCache>
                <c:formatCode>General</c:formatCode>
                <c:ptCount val="13"/>
                <c:pt idx="0">
                  <c:v>25.6</c:v>
                </c:pt>
                <c:pt idx="1">
                  <c:v>23.5</c:v>
                </c:pt>
                <c:pt idx="2">
                  <c:v>18.2</c:v>
                </c:pt>
                <c:pt idx="3">
                  <c:v>15.4</c:v>
                </c:pt>
                <c:pt idx="4">
                  <c:v>13.7</c:v>
                </c:pt>
                <c:pt idx="5">
                  <c:v>12.4</c:v>
                </c:pt>
                <c:pt idx="6">
                  <c:v>11.3</c:v>
                </c:pt>
                <c:pt idx="7">
                  <c:v>10.9</c:v>
                </c:pt>
                <c:pt idx="8">
                  <c:v>10.4</c:v>
                </c:pt>
                <c:pt idx="9">
                  <c:v>9.9</c:v>
                </c:pt>
                <c:pt idx="10">
                  <c:v>9.6</c:v>
                </c:pt>
                <c:pt idx="11">
                  <c:v>9.6</c:v>
                </c:pt>
                <c:pt idx="12">
                  <c:v>9.1999999999999993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3-C841-925A-D25F7B662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374031"/>
        <c:axId val="1219197919"/>
      </c:scatterChart>
      <c:valAx>
        <c:axId val="122237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219197919"/>
        <c:crosses val="autoZero"/>
        <c:crossBetween val="midCat"/>
      </c:valAx>
      <c:valAx>
        <c:axId val="12191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22237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370840</xdr:colOff>
      <xdr:row>0</xdr:row>
      <xdr:rowOff>193040</xdr:rowOff>
    </xdr:from>
    <xdr:to>
      <xdr:col>20</xdr:col>
      <xdr:colOff>5080</xdr:colOff>
      <xdr:row>14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0C4D06-28BF-F96F-16F1-20C249784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152127</xdr:colOff>
      <xdr:row>1</xdr:row>
      <xdr:rowOff>39056</xdr:rowOff>
    </xdr:from>
    <xdr:to>
      <xdr:col>18</xdr:col>
      <xdr:colOff>513871</xdr:colOff>
      <xdr:row>27</xdr:row>
      <xdr:rowOff>17804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15669-7D06-2D71-AE54-642BE4C36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1627" y="242256"/>
          <a:ext cx="7791244" cy="5261948"/>
        </a:xfrm>
        <a:prstGeom prst="rect">
          <a:avLst/>
        </a:prstGeom>
      </xdr:spPr>
    </xdr:pic>
    <xdr:clientData/>
  </xdr:twoCellAnchor>
  <xdr:twoCellAnchor>
    <xdr:from>
      <xdr:col>8</xdr:col>
      <xdr:colOff>527050</xdr:colOff>
      <xdr:row>36</xdr:row>
      <xdr:rowOff>127000</xdr:rowOff>
    </xdr:from>
    <xdr:to>
      <xdr:col>14</xdr:col>
      <xdr:colOff>146050</xdr:colOff>
      <xdr:row>50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A49936-B4A5-E409-54EF-9C2BA9047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307-70EA-9749-BC3D-54A83804696F}">
  <dimension ref="A1:J12"/>
  <sheetViews>
    <sheetView zoomScale="200" workbookViewId="0">
      <selection activeCell="A3" sqref="A3"/>
    </sheetView>
  </sheetViews>
  <sheetFormatPr baseColWidth="10" defaultRowHeight="16" x14ac:dyDescent="0.2"/>
  <cols>
    <col min="1" max="1" width="25.6640625" bestFit="1" customWidth="1"/>
  </cols>
  <sheetData>
    <row r="1" spans="1:10" x14ac:dyDescent="0.2">
      <c r="A1" t="s">
        <v>0</v>
      </c>
      <c r="B1" t="s">
        <v>24</v>
      </c>
      <c r="C1" t="s">
        <v>25</v>
      </c>
      <c r="D1" t="s">
        <v>48</v>
      </c>
      <c r="E1" t="s">
        <v>53</v>
      </c>
      <c r="F1" t="s">
        <v>58</v>
      </c>
      <c r="G1" t="s">
        <v>60</v>
      </c>
    </row>
    <row r="2" spans="1:10" x14ac:dyDescent="0.2">
      <c r="A2" t="s">
        <v>1</v>
      </c>
      <c r="B2" s="4">
        <v>20047.09</v>
      </c>
      <c r="C2" s="4">
        <v>32570.23</v>
      </c>
      <c r="D2" s="4">
        <v>631742.35</v>
      </c>
      <c r="E2" s="4">
        <v>945275.96</v>
      </c>
      <c r="F2" s="4">
        <v>3190170.44</v>
      </c>
      <c r="G2" s="4">
        <v>5832190.2199999997</v>
      </c>
      <c r="H2" s="4"/>
      <c r="I2" s="4"/>
    </row>
    <row r="3" spans="1:10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10" x14ac:dyDescent="0.2">
      <c r="A4" t="s">
        <v>16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</row>
    <row r="5" spans="1:10" x14ac:dyDescent="0.2">
      <c r="A5" t="s">
        <v>19</v>
      </c>
      <c r="B5">
        <v>5.0000000000000001E-3</v>
      </c>
      <c r="C5">
        <v>5.0000000000000001E-3</v>
      </c>
      <c r="D5">
        <v>5.0000000000000001E-3</v>
      </c>
      <c r="E5">
        <v>5.0000000000000001E-3</v>
      </c>
      <c r="F5">
        <v>5.0000000000000001E-3</v>
      </c>
      <c r="G5">
        <v>5.0000000000000001E-3</v>
      </c>
    </row>
    <row r="6" spans="1:10" x14ac:dyDescent="0.2">
      <c r="A6" t="s">
        <v>20</v>
      </c>
      <c r="B6">
        <v>156.03754062836398</v>
      </c>
      <c r="C6">
        <v>312.07508125672797</v>
      </c>
      <c r="D6" s="4">
        <v>5011.5586578286311</v>
      </c>
      <c r="E6" s="4">
        <v>10023.117315657262</v>
      </c>
      <c r="F6" s="4">
        <v>50115.586578286311</v>
      </c>
      <c r="G6" s="4">
        <v>100231.17315657262</v>
      </c>
      <c r="H6" s="4"/>
      <c r="I6" s="4"/>
      <c r="J6" s="4"/>
    </row>
    <row r="7" spans="1:10" x14ac:dyDescent="0.2">
      <c r="A7" t="s">
        <v>21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</row>
    <row r="8" spans="1:10" x14ac:dyDescent="0.2">
      <c r="A8" t="s">
        <v>22</v>
      </c>
      <c r="B8">
        <f>(1-0.58)/B4</f>
        <v>1.6800000000000002E-2</v>
      </c>
      <c r="C8">
        <f t="shared" ref="C8:G8" si="0">(1-0.58)/C4</f>
        <v>1.6800000000000002E-2</v>
      </c>
      <c r="D8">
        <f t="shared" si="0"/>
        <v>1.6800000000000002E-2</v>
      </c>
      <c r="E8">
        <f t="shared" si="0"/>
        <v>1.6800000000000002E-2</v>
      </c>
      <c r="F8">
        <f t="shared" si="0"/>
        <v>1.6800000000000002E-2</v>
      </c>
      <c r="G8">
        <f t="shared" si="0"/>
        <v>1.6800000000000002E-2</v>
      </c>
    </row>
    <row r="9" spans="1:10" x14ac:dyDescent="0.2">
      <c r="A9" t="s">
        <v>23</v>
      </c>
      <c r="B9">
        <f>B2*0.58</f>
        <v>11627.312199999998</v>
      </c>
      <c r="C9">
        <f>C2*0.58</f>
        <v>18890.733399999997</v>
      </c>
      <c r="D9">
        <f t="shared" ref="D9:E9" si="1">D2*0.58</f>
        <v>366410.56299999997</v>
      </c>
      <c r="E9">
        <f t="shared" si="1"/>
        <v>548260.0567999999</v>
      </c>
      <c r="F9">
        <f>F2*0.58</f>
        <v>1850298.8551999999</v>
      </c>
      <c r="G9">
        <f>G2*0.58</f>
        <v>3382670.3275999995</v>
      </c>
      <c r="H9" s="7"/>
      <c r="I9" s="7"/>
    </row>
    <row r="10" spans="1:10" x14ac:dyDescent="0.2">
      <c r="A10" t="s">
        <v>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10" x14ac:dyDescent="0.2">
      <c r="A11" t="s">
        <v>105</v>
      </c>
      <c r="B11">
        <v>0.91825292799460578</v>
      </c>
      <c r="C11">
        <v>0.91825292799460578</v>
      </c>
      <c r="D11">
        <v>0.91825292799460578</v>
      </c>
      <c r="E11">
        <v>0.91825292799460578</v>
      </c>
      <c r="F11">
        <v>0.91825292799460578</v>
      </c>
      <c r="G11">
        <v>0.91825292799460578</v>
      </c>
    </row>
    <row r="12" spans="1:10" x14ac:dyDescent="0.2">
      <c r="A12" t="s">
        <v>118</v>
      </c>
      <c r="B12">
        <v>88</v>
      </c>
      <c r="C12">
        <v>177</v>
      </c>
      <c r="D12">
        <v>2837</v>
      </c>
      <c r="E12">
        <v>5674</v>
      </c>
      <c r="F12">
        <v>28370</v>
      </c>
      <c r="G12">
        <v>56739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3B43-D754-5346-B372-5334A6F317AF}">
  <dimension ref="A1:J13"/>
  <sheetViews>
    <sheetView zoomScale="200" workbookViewId="0">
      <selection activeCell="A5" sqref="A5:XFD5"/>
    </sheetView>
  </sheetViews>
  <sheetFormatPr baseColWidth="10" defaultRowHeight="16" x14ac:dyDescent="0.2"/>
  <cols>
    <col min="1" max="1" width="25.6640625" bestFit="1" customWidth="1"/>
  </cols>
  <sheetData>
    <row r="1" spans="1:10" x14ac:dyDescent="0.2">
      <c r="A1" t="s">
        <v>0</v>
      </c>
      <c r="B1" t="s">
        <v>24</v>
      </c>
      <c r="C1" t="s">
        <v>25</v>
      </c>
      <c r="D1" t="s">
        <v>48</v>
      </c>
      <c r="E1" t="s">
        <v>53</v>
      </c>
      <c r="F1" t="s">
        <v>58</v>
      </c>
      <c r="G1" t="s">
        <v>60</v>
      </c>
    </row>
    <row r="2" spans="1:10" x14ac:dyDescent="0.2">
      <c r="A2" t="s">
        <v>1</v>
      </c>
      <c r="B2" s="4">
        <v>20047.09</v>
      </c>
      <c r="C2" s="4">
        <v>32570.23</v>
      </c>
      <c r="D2" s="4">
        <v>631742.35</v>
      </c>
      <c r="E2" s="4">
        <v>945275.96</v>
      </c>
      <c r="F2" s="4">
        <v>3190170.44</v>
      </c>
      <c r="G2" s="4">
        <v>5832190.2199999997</v>
      </c>
      <c r="H2" s="4"/>
      <c r="I2" s="4"/>
    </row>
    <row r="3" spans="1:10" x14ac:dyDescent="0.2">
      <c r="A3" t="s">
        <v>2</v>
      </c>
      <c r="B3">
        <v>21.17</v>
      </c>
      <c r="C3">
        <v>21.17</v>
      </c>
      <c r="D3">
        <v>21.17</v>
      </c>
      <c r="E3">
        <v>21.17</v>
      </c>
      <c r="F3">
        <v>21.17</v>
      </c>
      <c r="G3">
        <v>21.17</v>
      </c>
    </row>
    <row r="4" spans="1:10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10" x14ac:dyDescent="0.2">
      <c r="A5" t="s">
        <v>16</v>
      </c>
      <c r="B5">
        <v>25</v>
      </c>
      <c r="C5">
        <v>25</v>
      </c>
      <c r="D5">
        <v>25</v>
      </c>
      <c r="E5">
        <v>25</v>
      </c>
      <c r="F5">
        <v>25</v>
      </c>
      <c r="G5">
        <v>25</v>
      </c>
    </row>
    <row r="6" spans="1:10" x14ac:dyDescent="0.2">
      <c r="A6" t="s">
        <v>18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</row>
    <row r="7" spans="1:10" x14ac:dyDescent="0.2">
      <c r="A7" t="s">
        <v>19</v>
      </c>
      <c r="B7">
        <v>5.0000000000000001E-3</v>
      </c>
      <c r="C7">
        <v>5.0000000000000001E-3</v>
      </c>
      <c r="D7">
        <v>5.0000000000000001E-3</v>
      </c>
      <c r="E7">
        <v>5.0000000000000001E-3</v>
      </c>
      <c r="F7">
        <v>5.0000000000000001E-3</v>
      </c>
      <c r="G7">
        <v>5.0000000000000001E-3</v>
      </c>
    </row>
    <row r="8" spans="1:10" x14ac:dyDescent="0.2">
      <c r="A8" t="s">
        <v>20</v>
      </c>
      <c r="B8">
        <v>156.03754062836398</v>
      </c>
      <c r="C8">
        <v>312.07508125672797</v>
      </c>
      <c r="D8" s="4">
        <v>5011.5586578286311</v>
      </c>
      <c r="E8" s="4">
        <v>10023.117315657262</v>
      </c>
      <c r="F8" s="4">
        <v>50115.586578286311</v>
      </c>
      <c r="G8" s="4">
        <v>100231.17315657262</v>
      </c>
      <c r="H8" s="4"/>
      <c r="I8" s="4"/>
      <c r="J8" s="4"/>
    </row>
    <row r="9" spans="1:10" x14ac:dyDescent="0.2">
      <c r="A9" t="s">
        <v>21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</row>
    <row r="10" spans="1:10" x14ac:dyDescent="0.2">
      <c r="A10" t="s">
        <v>22</v>
      </c>
      <c r="B10">
        <v>1.6799999999999999E-2</v>
      </c>
      <c r="C10">
        <v>1.6799999999999999E-2</v>
      </c>
      <c r="D10">
        <v>1.6799999999999999E-2</v>
      </c>
      <c r="E10">
        <v>1.6799999999999999E-2</v>
      </c>
      <c r="F10">
        <v>1.6799999999999999E-2</v>
      </c>
      <c r="G10">
        <v>1.6799999999999999E-2</v>
      </c>
    </row>
    <row r="11" spans="1:10" x14ac:dyDescent="0.2">
      <c r="A11" t="s">
        <v>23</v>
      </c>
      <c r="B11">
        <f>B2*0.58</f>
        <v>11627.312199999998</v>
      </c>
      <c r="C11">
        <f>C2*0.58</f>
        <v>18890.733399999997</v>
      </c>
      <c r="D11">
        <f t="shared" ref="D11:E11" si="0">D2*0.58</f>
        <v>366410.56299999997</v>
      </c>
      <c r="E11">
        <f t="shared" si="0"/>
        <v>548260.0567999999</v>
      </c>
      <c r="F11">
        <f>F2*0.58</f>
        <v>1850298.8551999999</v>
      </c>
      <c r="G11">
        <f>G2*0.58</f>
        <v>3382670.3275999995</v>
      </c>
      <c r="H11" s="7"/>
      <c r="I11" s="7"/>
    </row>
    <row r="12" spans="1:10" x14ac:dyDescent="0.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10" x14ac:dyDescent="0.2">
      <c r="A13" t="s">
        <v>105</v>
      </c>
      <c r="B13">
        <v>0.91825292799460578</v>
      </c>
      <c r="C13">
        <v>0.91825292799460578</v>
      </c>
      <c r="D13">
        <v>0.91825292799460578</v>
      </c>
      <c r="E13">
        <v>0.91825292799460578</v>
      </c>
      <c r="F13">
        <v>0.91825292799460578</v>
      </c>
      <c r="G13">
        <v>0.91825292799460578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4CF1-7336-B242-BB78-8AD8C045F5E6}">
  <dimension ref="A1:D7"/>
  <sheetViews>
    <sheetView zoomScale="305" workbookViewId="0">
      <selection activeCell="D5" sqref="D5"/>
    </sheetView>
  </sheetViews>
  <sheetFormatPr baseColWidth="10" defaultRowHeight="16" x14ac:dyDescent="0.2"/>
  <cols>
    <col min="1" max="1" width="26.1640625" bestFit="1" customWidth="1"/>
    <col min="5" max="5" width="11.33203125" bestFit="1" customWidth="1"/>
    <col min="6" max="6" width="13.1640625" bestFit="1" customWidth="1"/>
    <col min="7" max="7" width="17.6640625" bestFit="1" customWidth="1"/>
    <col min="8" max="9" width="17.6640625" customWidth="1"/>
    <col min="10" max="10" width="17.1640625" bestFit="1" customWidth="1"/>
    <col min="11" max="11" width="25.1640625" bestFit="1" customWidth="1"/>
    <col min="12" max="12" width="26.1640625" bestFit="1" customWidth="1"/>
    <col min="13" max="13" width="17.83203125" bestFit="1" customWidth="1"/>
    <col min="14" max="14" width="16.6640625" bestFit="1" customWidth="1"/>
  </cols>
  <sheetData>
    <row r="1" spans="1:4" x14ac:dyDescent="0.2">
      <c r="A1" t="s">
        <v>0</v>
      </c>
      <c r="B1" t="s">
        <v>12</v>
      </c>
      <c r="C1" t="s">
        <v>13</v>
      </c>
      <c r="D1" t="s">
        <v>14</v>
      </c>
    </row>
    <row r="2" spans="1:4" x14ac:dyDescent="0.2">
      <c r="A2" t="s">
        <v>6</v>
      </c>
      <c r="B2">
        <v>0.30769230769230771</v>
      </c>
      <c r="C2">
        <v>0.38461538461538458</v>
      </c>
      <c r="D2">
        <v>0.30769230769230771</v>
      </c>
    </row>
    <row r="3" spans="1:4" x14ac:dyDescent="0.2">
      <c r="A3" t="s">
        <v>10</v>
      </c>
      <c r="B3">
        <v>8.9656651833328549E-2</v>
      </c>
      <c r="C3">
        <v>0.33610253300006032</v>
      </c>
      <c r="D3">
        <v>0.62607499299999958</v>
      </c>
    </row>
    <row r="4" spans="1:4" x14ac:dyDescent="0.2">
      <c r="A4" t="s">
        <v>11</v>
      </c>
      <c r="B4">
        <v>4.0844230038268023E-2</v>
      </c>
      <c r="C4">
        <v>0.1202687349999242</v>
      </c>
      <c r="D4">
        <v>0.110505985000003</v>
      </c>
    </row>
    <row r="5" spans="1:4" x14ac:dyDescent="0.2">
      <c r="A5" t="s">
        <v>7</v>
      </c>
      <c r="B5">
        <v>0.91424503574506411</v>
      </c>
      <c r="C5">
        <v>0.7145498371213993</v>
      </c>
      <c r="D5">
        <v>0.53468633539608523</v>
      </c>
    </row>
    <row r="6" spans="1:4" x14ac:dyDescent="0.2">
      <c r="A6" t="s">
        <v>8</v>
      </c>
      <c r="B6">
        <v>1.0416898289221079</v>
      </c>
      <c r="C6">
        <v>1.127799890162412</v>
      </c>
      <c r="D6">
        <v>1.1168430333376731</v>
      </c>
    </row>
    <row r="7" spans="1:4" x14ac:dyDescent="0.2">
      <c r="A7" t="s">
        <v>9</v>
      </c>
      <c r="B7">
        <v>0</v>
      </c>
      <c r="C7">
        <v>0</v>
      </c>
      <c r="D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238B-0F4C-1343-88A8-2D1E4AFF318E}">
  <dimension ref="A1:C7"/>
  <sheetViews>
    <sheetView tabSelected="1" zoomScale="133" workbookViewId="0">
      <selection activeCell="C13" sqref="C13"/>
    </sheetView>
  </sheetViews>
  <sheetFormatPr baseColWidth="10" defaultRowHeight="16" x14ac:dyDescent="0.2"/>
  <cols>
    <col min="1" max="3" width="17.33203125" customWidth="1"/>
  </cols>
  <sheetData>
    <row r="1" spans="1:3" x14ac:dyDescent="0.2">
      <c r="A1" t="s">
        <v>0</v>
      </c>
      <c r="B1" t="s">
        <v>12</v>
      </c>
      <c r="C1" t="s">
        <v>13</v>
      </c>
    </row>
    <row r="2" spans="1:3" x14ac:dyDescent="0.2">
      <c r="A2" t="s">
        <v>6</v>
      </c>
      <c r="B2">
        <v>0.38461538461538458</v>
      </c>
      <c r="C2">
        <v>0.61538461538461542</v>
      </c>
    </row>
    <row r="3" spans="1:3" x14ac:dyDescent="0.2">
      <c r="A3" t="s">
        <v>10</v>
      </c>
      <c r="B3">
        <v>0.1019332660000004</v>
      </c>
      <c r="C3">
        <v>0.46393994884651818</v>
      </c>
    </row>
    <row r="4" spans="1:3" x14ac:dyDescent="0.2">
      <c r="A4" t="s">
        <v>11</v>
      </c>
      <c r="B4">
        <v>3.8151803000000352E-2</v>
      </c>
      <c r="C4">
        <v>9.9125460236833537E-2</v>
      </c>
    </row>
    <row r="5" spans="1:3" x14ac:dyDescent="0.2">
      <c r="A5" t="s">
        <v>7</v>
      </c>
      <c r="B5">
        <v>0.90308981645381026</v>
      </c>
      <c r="C5">
        <v>0.62880131357753921</v>
      </c>
    </row>
    <row r="6" spans="1:3" x14ac:dyDescent="0.2">
      <c r="A6" t="s">
        <v>8</v>
      </c>
      <c r="B6">
        <v>1.0388889273647881</v>
      </c>
      <c r="C6">
        <v>1.1042048246678191</v>
      </c>
    </row>
    <row r="7" spans="1:3" x14ac:dyDescent="0.2">
      <c r="A7" t="s">
        <v>9</v>
      </c>
      <c r="B7">
        <v>0</v>
      </c>
      <c r="C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E2DA-591E-F04C-B86A-E96643E6B1E4}">
  <dimension ref="A1:Q115"/>
  <sheetViews>
    <sheetView topLeftCell="C59" zoomScale="207" workbookViewId="0">
      <selection activeCell="F55" sqref="F55:G55"/>
    </sheetView>
  </sheetViews>
  <sheetFormatPr baseColWidth="10" defaultRowHeight="16" x14ac:dyDescent="0.2"/>
  <cols>
    <col min="2" max="2" width="15.33203125" customWidth="1"/>
    <col min="3" max="3" width="16" customWidth="1"/>
    <col min="4" max="4" width="19.6640625" customWidth="1"/>
    <col min="5" max="5" width="13.1640625" customWidth="1"/>
    <col min="6" max="6" width="11.5" customWidth="1"/>
    <col min="7" max="7" width="11.33203125" customWidth="1"/>
    <col min="11" max="11" width="19.5" customWidth="1"/>
  </cols>
  <sheetData>
    <row r="1" spans="1:13" x14ac:dyDescent="0.2">
      <c r="A1" t="s">
        <v>24</v>
      </c>
      <c r="B1" t="s">
        <v>32</v>
      </c>
      <c r="C1" t="s">
        <v>33</v>
      </c>
      <c r="D1" s="10" t="s">
        <v>41</v>
      </c>
      <c r="E1" s="10"/>
      <c r="F1" s="10" t="s">
        <v>42</v>
      </c>
      <c r="G1" s="10"/>
      <c r="H1" s="10" t="s">
        <v>43</v>
      </c>
      <c r="I1" s="10"/>
      <c r="K1" t="s">
        <v>96</v>
      </c>
    </row>
    <row r="2" spans="1:13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</row>
    <row r="3" spans="1:13" x14ac:dyDescent="0.2">
      <c r="A3" t="s">
        <v>39</v>
      </c>
      <c r="B3">
        <v>1208.8399999999999</v>
      </c>
      <c r="C3">
        <v>1571.34</v>
      </c>
      <c r="D3">
        <v>2361.14</v>
      </c>
      <c r="E3">
        <v>2660.54</v>
      </c>
      <c r="F3">
        <v>2793.68</v>
      </c>
      <c r="G3">
        <v>2782.84</v>
      </c>
      <c r="H3">
        <v>3452.22</v>
      </c>
      <c r="I3">
        <v>3257.3</v>
      </c>
      <c r="J3">
        <v>2882.42</v>
      </c>
      <c r="K3">
        <v>2412.81</v>
      </c>
      <c r="L3">
        <v>2149.12</v>
      </c>
      <c r="M3">
        <v>1352.9</v>
      </c>
    </row>
    <row r="4" spans="1:13" x14ac:dyDescent="0.2">
      <c r="A4" t="s">
        <v>40</v>
      </c>
      <c r="B4">
        <v>1370.26</v>
      </c>
      <c r="C4">
        <v>1834.1</v>
      </c>
      <c r="D4">
        <v>2320.98</v>
      </c>
      <c r="E4">
        <v>2660.54</v>
      </c>
      <c r="F4">
        <v>2737.02</v>
      </c>
      <c r="G4">
        <v>2946.53</v>
      </c>
      <c r="H4">
        <v>3331.4</v>
      </c>
      <c r="I4">
        <v>3415.91</v>
      </c>
      <c r="J4">
        <v>3047.5</v>
      </c>
      <c r="K4">
        <v>2180.5500000000002</v>
      </c>
      <c r="L4">
        <v>1704.37</v>
      </c>
      <c r="M4">
        <v>1370.66</v>
      </c>
    </row>
    <row r="10" spans="1:13" x14ac:dyDescent="0.2">
      <c r="A10" t="s">
        <v>25</v>
      </c>
      <c r="B10" t="s">
        <v>44</v>
      </c>
      <c r="C10" t="s">
        <v>33</v>
      </c>
      <c r="D10" s="10" t="s">
        <v>45</v>
      </c>
      <c r="E10" s="10"/>
      <c r="F10" s="10" t="s">
        <v>46</v>
      </c>
      <c r="G10" s="10"/>
      <c r="H10" s="10" t="s">
        <v>47</v>
      </c>
      <c r="I10" s="10"/>
      <c r="K10" t="s">
        <v>96</v>
      </c>
    </row>
    <row r="11" spans="1:13" x14ac:dyDescent="0.2">
      <c r="A11" t="s">
        <v>34</v>
      </c>
      <c r="B11" t="s">
        <v>35</v>
      </c>
      <c r="C11" t="s">
        <v>36</v>
      </c>
      <c r="D11" t="s">
        <v>37</v>
      </c>
      <c r="E11" t="s">
        <v>38</v>
      </c>
    </row>
    <row r="12" spans="1:13" x14ac:dyDescent="0.2">
      <c r="A12" t="s">
        <v>39</v>
      </c>
      <c r="B12">
        <v>2496.61</v>
      </c>
      <c r="C12">
        <v>3256.98</v>
      </c>
      <c r="D12">
        <v>4898.12</v>
      </c>
      <c r="E12">
        <v>5465.29</v>
      </c>
      <c r="F12">
        <v>5614.7</v>
      </c>
      <c r="G12">
        <v>5578.79</v>
      </c>
      <c r="H12">
        <v>6933.1</v>
      </c>
      <c r="I12">
        <v>6581.73</v>
      </c>
      <c r="J12">
        <v>5893.99</v>
      </c>
      <c r="K12">
        <v>4954.63</v>
      </c>
      <c r="L12">
        <v>4399.5</v>
      </c>
      <c r="M12">
        <v>2728.55</v>
      </c>
    </row>
    <row r="13" spans="1:13" x14ac:dyDescent="0.2">
      <c r="A13" t="s">
        <v>40</v>
      </c>
      <c r="B13">
        <v>2781.87</v>
      </c>
      <c r="C13">
        <v>3754.57</v>
      </c>
      <c r="D13">
        <v>4695.42</v>
      </c>
      <c r="E13">
        <v>5414.22</v>
      </c>
      <c r="F13">
        <v>5503.04</v>
      </c>
      <c r="G13">
        <v>5922.27</v>
      </c>
      <c r="H13">
        <v>6703.18</v>
      </c>
      <c r="I13">
        <v>6900.52</v>
      </c>
      <c r="J13">
        <v>6196.14</v>
      </c>
      <c r="K13">
        <v>4444.3900000000003</v>
      </c>
      <c r="L13">
        <v>3443.33</v>
      </c>
      <c r="M13">
        <v>2790.84</v>
      </c>
    </row>
    <row r="19" spans="1:13" x14ac:dyDescent="0.2">
      <c r="A19" t="s">
        <v>48</v>
      </c>
      <c r="B19" t="s">
        <v>50</v>
      </c>
      <c r="C19" t="s">
        <v>33</v>
      </c>
      <c r="D19" s="10" t="s">
        <v>49</v>
      </c>
      <c r="E19" s="10"/>
      <c r="F19" s="10" t="s">
        <v>51</v>
      </c>
      <c r="G19" s="10"/>
      <c r="H19" s="10" t="s">
        <v>52</v>
      </c>
      <c r="I19" s="10"/>
    </row>
    <row r="20" spans="1:13" x14ac:dyDescent="0.2">
      <c r="A20" t="s">
        <v>34</v>
      </c>
      <c r="B20" t="s">
        <v>35</v>
      </c>
      <c r="C20" t="s">
        <v>36</v>
      </c>
      <c r="D20" t="s">
        <v>37</v>
      </c>
      <c r="E20" t="s">
        <v>38</v>
      </c>
    </row>
    <row r="21" spans="1:13" x14ac:dyDescent="0.2">
      <c r="A21" t="s">
        <v>39</v>
      </c>
      <c r="B21">
        <v>6225.68</v>
      </c>
      <c r="C21">
        <v>8113.14</v>
      </c>
      <c r="D21">
        <v>12214.4</v>
      </c>
      <c r="E21">
        <v>13608.4</v>
      </c>
      <c r="F21">
        <v>13980.4</v>
      </c>
      <c r="G21">
        <v>13890.9</v>
      </c>
      <c r="H21">
        <v>17263</v>
      </c>
      <c r="I21">
        <v>16388.2</v>
      </c>
      <c r="J21">
        <v>14675.9</v>
      </c>
      <c r="K21">
        <v>12337.1</v>
      </c>
      <c r="L21">
        <v>10955</v>
      </c>
      <c r="M21">
        <v>6794.68</v>
      </c>
    </row>
    <row r="22" spans="1:13" x14ac:dyDescent="0.2">
      <c r="A22" t="s">
        <v>40</v>
      </c>
      <c r="B22">
        <v>6951.21</v>
      </c>
      <c r="C22">
        <v>9712.35</v>
      </c>
      <c r="D22">
        <v>11854.7</v>
      </c>
      <c r="E22">
        <v>13608.4</v>
      </c>
      <c r="F22">
        <v>13709.5</v>
      </c>
      <c r="G22">
        <v>14746.1</v>
      </c>
      <c r="H22">
        <v>16690.7</v>
      </c>
      <c r="I22">
        <v>17185.599999999999</v>
      </c>
      <c r="J22">
        <v>15491.7</v>
      </c>
      <c r="K22">
        <v>11216.9</v>
      </c>
      <c r="L22">
        <v>8597.34</v>
      </c>
      <c r="M22">
        <v>7025.7</v>
      </c>
    </row>
    <row r="28" spans="1:13" x14ac:dyDescent="0.2">
      <c r="A28" t="s">
        <v>53</v>
      </c>
      <c r="B28" t="s">
        <v>54</v>
      </c>
      <c r="C28" t="s">
        <v>33</v>
      </c>
      <c r="D28" s="10" t="s">
        <v>55</v>
      </c>
      <c r="E28" s="10"/>
      <c r="F28" s="10" t="s">
        <v>56</v>
      </c>
      <c r="G28" s="10"/>
      <c r="H28" s="10" t="s">
        <v>57</v>
      </c>
      <c r="I28" s="10"/>
    </row>
    <row r="29" spans="1:13" x14ac:dyDescent="0.2">
      <c r="A29" t="s">
        <v>34</v>
      </c>
      <c r="B29" t="s">
        <v>35</v>
      </c>
      <c r="C29" t="s">
        <v>36</v>
      </c>
      <c r="D29" t="s">
        <v>37</v>
      </c>
      <c r="E29" t="s">
        <v>38</v>
      </c>
    </row>
    <row r="30" spans="1:13" x14ac:dyDescent="0.2">
      <c r="A30" t="s">
        <v>39</v>
      </c>
      <c r="B30">
        <v>11125.5</v>
      </c>
      <c r="C30">
        <v>14488</v>
      </c>
      <c r="D30">
        <v>21737.599999999999</v>
      </c>
      <c r="E30">
        <v>24437.7</v>
      </c>
      <c r="F30">
        <v>25165.5</v>
      </c>
      <c r="G30">
        <v>25004.5</v>
      </c>
      <c r="H30">
        <v>31074.2</v>
      </c>
      <c r="I30">
        <v>29497.200000000001</v>
      </c>
      <c r="J30">
        <v>26392.7</v>
      </c>
      <c r="K30">
        <v>22163.5</v>
      </c>
      <c r="L30">
        <v>19702</v>
      </c>
      <c r="M30">
        <v>12231.7</v>
      </c>
    </row>
    <row r="31" spans="1:13" x14ac:dyDescent="0.2">
      <c r="A31" t="s">
        <v>40</v>
      </c>
      <c r="B31">
        <v>12513</v>
      </c>
      <c r="C31">
        <v>17083.7</v>
      </c>
      <c r="D31">
        <v>21182.9</v>
      </c>
      <c r="E31">
        <v>24437.7</v>
      </c>
      <c r="F31">
        <v>24678</v>
      </c>
      <c r="G31">
        <v>26543.9</v>
      </c>
      <c r="H31">
        <v>30044.1</v>
      </c>
      <c r="I31">
        <v>30935</v>
      </c>
      <c r="J31">
        <v>27870.6</v>
      </c>
      <c r="K31">
        <v>20096.2</v>
      </c>
      <c r="L31">
        <v>15469.1</v>
      </c>
      <c r="M31">
        <v>12595.5</v>
      </c>
    </row>
    <row r="37" spans="1:13" x14ac:dyDescent="0.2">
      <c r="A37" t="s">
        <v>58</v>
      </c>
      <c r="B37" t="s">
        <v>63</v>
      </c>
      <c r="C37" t="s">
        <v>59</v>
      </c>
      <c r="D37" s="10" t="s">
        <v>67</v>
      </c>
      <c r="E37" s="10"/>
      <c r="F37" s="10" t="s">
        <v>68</v>
      </c>
      <c r="G37" s="10"/>
      <c r="H37" s="10" t="s">
        <v>69</v>
      </c>
      <c r="I37" s="10"/>
    </row>
    <row r="38" spans="1:13" x14ac:dyDescent="0.2">
      <c r="A38" t="s">
        <v>34</v>
      </c>
      <c r="B38" t="s">
        <v>35</v>
      </c>
      <c r="C38" t="s">
        <v>36</v>
      </c>
      <c r="D38" t="s">
        <v>37</v>
      </c>
      <c r="E38" t="s">
        <v>38</v>
      </c>
    </row>
    <row r="39" spans="1:13" x14ac:dyDescent="0.2">
      <c r="A39" t="s">
        <v>39</v>
      </c>
      <c r="B39">
        <v>41724.6</v>
      </c>
      <c r="C39">
        <v>52749.599999999999</v>
      </c>
      <c r="D39">
        <v>78851.199999999997</v>
      </c>
      <c r="E39">
        <v>88718.6</v>
      </c>
      <c r="F39">
        <v>93412.1</v>
      </c>
      <c r="G39">
        <v>93285.5</v>
      </c>
      <c r="H39">
        <v>115097</v>
      </c>
      <c r="I39">
        <v>108175</v>
      </c>
      <c r="J39">
        <v>95472.5</v>
      </c>
      <c r="K39">
        <v>79785.600000000006</v>
      </c>
      <c r="L39">
        <v>70950</v>
      </c>
      <c r="M39">
        <v>44572.6</v>
      </c>
    </row>
    <row r="40" spans="1:13" x14ac:dyDescent="0.2">
      <c r="A40" t="s">
        <v>40</v>
      </c>
      <c r="B40">
        <v>45568.9</v>
      </c>
      <c r="C40">
        <v>61377</v>
      </c>
      <c r="D40">
        <v>77052.5</v>
      </c>
      <c r="E40">
        <v>88718.6</v>
      </c>
      <c r="F40">
        <v>91731.3</v>
      </c>
      <c r="G40">
        <v>98864</v>
      </c>
      <c r="H40">
        <v>111562</v>
      </c>
      <c r="I40">
        <v>113538</v>
      </c>
      <c r="J40">
        <v>100897</v>
      </c>
      <c r="K40">
        <v>72257.3</v>
      </c>
      <c r="L40">
        <v>56291.199999999997</v>
      </c>
      <c r="M40">
        <v>46052.7</v>
      </c>
    </row>
    <row r="46" spans="1:13" x14ac:dyDescent="0.2">
      <c r="A46" t="s">
        <v>60</v>
      </c>
      <c r="B46" t="s">
        <v>64</v>
      </c>
      <c r="C46" t="s">
        <v>59</v>
      </c>
      <c r="D46" s="10" t="s">
        <v>70</v>
      </c>
      <c r="E46" s="10"/>
      <c r="F46" s="10" t="s">
        <v>71</v>
      </c>
      <c r="G46" s="10"/>
      <c r="H46" s="10" t="s">
        <v>72</v>
      </c>
      <c r="I46" s="10"/>
    </row>
    <row r="47" spans="1:13" x14ac:dyDescent="0.2">
      <c r="A47" t="s">
        <v>34</v>
      </c>
      <c r="B47" t="s">
        <v>35</v>
      </c>
      <c r="C47" t="s">
        <v>36</v>
      </c>
      <c r="D47" t="s">
        <v>37</v>
      </c>
      <c r="E47" t="s">
        <v>38</v>
      </c>
    </row>
    <row r="48" spans="1:13" x14ac:dyDescent="0.2">
      <c r="A48" t="s">
        <v>39</v>
      </c>
      <c r="B48">
        <v>83449.2</v>
      </c>
      <c r="C48">
        <v>105499</v>
      </c>
      <c r="D48">
        <v>157702</v>
      </c>
      <c r="E48">
        <v>177437</v>
      </c>
      <c r="F48">
        <v>186824</v>
      </c>
      <c r="G48">
        <v>186571</v>
      </c>
      <c r="H48">
        <v>230195</v>
      </c>
      <c r="I48">
        <v>216351</v>
      </c>
      <c r="J48">
        <v>190945</v>
      </c>
      <c r="K48">
        <v>159571</v>
      </c>
      <c r="L48">
        <v>141900</v>
      </c>
      <c r="M48">
        <v>89145.1</v>
      </c>
    </row>
    <row r="49" spans="1:13" x14ac:dyDescent="0.2">
      <c r="A49" t="s">
        <v>40</v>
      </c>
      <c r="B49">
        <v>91137.7</v>
      </c>
      <c r="C49">
        <v>122754</v>
      </c>
      <c r="D49">
        <v>154105</v>
      </c>
      <c r="E49">
        <v>177437</v>
      </c>
      <c r="F49">
        <v>183463</v>
      </c>
      <c r="G49">
        <v>197728</v>
      </c>
      <c r="H49">
        <v>223123</v>
      </c>
      <c r="I49">
        <v>227076</v>
      </c>
      <c r="J49">
        <v>201793</v>
      </c>
      <c r="K49">
        <v>144515</v>
      </c>
      <c r="L49">
        <v>112582</v>
      </c>
      <c r="M49">
        <v>92105.4</v>
      </c>
    </row>
    <row r="55" spans="1:13" x14ac:dyDescent="0.2">
      <c r="A55" t="s">
        <v>61</v>
      </c>
      <c r="B55" t="s">
        <v>65</v>
      </c>
      <c r="C55" t="s">
        <v>59</v>
      </c>
      <c r="D55" s="10" t="s">
        <v>73</v>
      </c>
      <c r="E55" s="10"/>
      <c r="F55" s="10" t="s">
        <v>77</v>
      </c>
      <c r="G55" s="10"/>
      <c r="H55" s="10" t="s">
        <v>74</v>
      </c>
      <c r="I55" s="10"/>
    </row>
    <row r="56" spans="1:13" x14ac:dyDescent="0.2">
      <c r="A56" t="s">
        <v>34</v>
      </c>
      <c r="B56" t="s">
        <v>35</v>
      </c>
      <c r="C56" t="s">
        <v>36</v>
      </c>
      <c r="D56" t="s">
        <v>37</v>
      </c>
      <c r="E56" t="s">
        <v>38</v>
      </c>
    </row>
    <row r="57" spans="1:13" x14ac:dyDescent="0.2">
      <c r="A57" t="s">
        <v>39</v>
      </c>
      <c r="B57">
        <v>417246</v>
      </c>
      <c r="C57">
        <v>527496</v>
      </c>
      <c r="D57">
        <v>788512</v>
      </c>
      <c r="E57">
        <v>887186</v>
      </c>
      <c r="F57">
        <v>934121</v>
      </c>
      <c r="G57">
        <v>932855</v>
      </c>
      <c r="H57">
        <v>1150970</v>
      </c>
      <c r="I57">
        <v>1081750</v>
      </c>
      <c r="J57">
        <v>954725</v>
      </c>
      <c r="K57">
        <v>797856</v>
      </c>
      <c r="L57">
        <v>709500</v>
      </c>
      <c r="M57">
        <v>445726</v>
      </c>
    </row>
    <row r="58" spans="1:13" x14ac:dyDescent="0.2">
      <c r="A58" t="s">
        <v>40</v>
      </c>
      <c r="B58">
        <v>455689</v>
      </c>
      <c r="C58">
        <v>613770</v>
      </c>
      <c r="D58">
        <v>770525</v>
      </c>
      <c r="E58">
        <v>887186</v>
      </c>
      <c r="F58">
        <v>917313</v>
      </c>
      <c r="G58">
        <v>988640</v>
      </c>
      <c r="H58">
        <v>1115620</v>
      </c>
      <c r="I58">
        <v>1135380</v>
      </c>
      <c r="J58">
        <v>1008970</v>
      </c>
      <c r="K58">
        <v>722573</v>
      </c>
      <c r="L58">
        <v>562912</v>
      </c>
      <c r="M58">
        <v>460527</v>
      </c>
    </row>
    <row r="64" spans="1:13" x14ac:dyDescent="0.2">
      <c r="A64" t="s">
        <v>62</v>
      </c>
      <c r="B64" t="s">
        <v>66</v>
      </c>
      <c r="C64" t="s">
        <v>59</v>
      </c>
      <c r="D64" s="10" t="s">
        <v>76</v>
      </c>
      <c r="E64" s="10"/>
      <c r="F64" s="10" t="s">
        <v>78</v>
      </c>
      <c r="G64" s="10"/>
      <c r="H64" s="10" t="s">
        <v>75</v>
      </c>
      <c r="I64" s="10"/>
    </row>
    <row r="65" spans="1:17" x14ac:dyDescent="0.2">
      <c r="A65" t="s">
        <v>34</v>
      </c>
      <c r="B65" t="s">
        <v>35</v>
      </c>
      <c r="C65" t="s">
        <v>36</v>
      </c>
      <c r="D65" t="s">
        <v>37</v>
      </c>
      <c r="E65" t="s">
        <v>38</v>
      </c>
    </row>
    <row r="66" spans="1:17" x14ac:dyDescent="0.2">
      <c r="A66" t="s">
        <v>39</v>
      </c>
      <c r="B66">
        <v>834492</v>
      </c>
      <c r="C66">
        <v>1054990</v>
      </c>
      <c r="D66">
        <v>1577020</v>
      </c>
      <c r="E66">
        <v>1774370</v>
      </c>
      <c r="F66">
        <v>1868240</v>
      </c>
      <c r="G66">
        <v>1865710</v>
      </c>
      <c r="H66">
        <v>2301950</v>
      </c>
      <c r="I66">
        <v>2163510</v>
      </c>
      <c r="J66">
        <v>1909450</v>
      </c>
      <c r="K66">
        <v>1595710</v>
      </c>
      <c r="L66">
        <v>1419000</v>
      </c>
      <c r="M66">
        <v>891451</v>
      </c>
    </row>
    <row r="67" spans="1:17" x14ac:dyDescent="0.2">
      <c r="A67" t="s">
        <v>40</v>
      </c>
      <c r="B67">
        <v>911377</v>
      </c>
      <c r="C67">
        <v>1227540</v>
      </c>
      <c r="D67">
        <v>1541050</v>
      </c>
      <c r="E67">
        <v>1774370</v>
      </c>
      <c r="F67">
        <v>1834630</v>
      </c>
      <c r="G67">
        <v>1977280</v>
      </c>
      <c r="H67">
        <v>2231230</v>
      </c>
      <c r="I67">
        <v>2270760</v>
      </c>
      <c r="J67">
        <v>2017930</v>
      </c>
      <c r="K67">
        <v>1445150</v>
      </c>
      <c r="L67">
        <v>1125820</v>
      </c>
      <c r="M67">
        <v>921054</v>
      </c>
    </row>
    <row r="68" spans="1:17" x14ac:dyDescent="0.2">
      <c r="Q68" s="9"/>
    </row>
    <row r="71" spans="1:17" x14ac:dyDescent="0.2">
      <c r="P71" s="9"/>
    </row>
    <row r="72" spans="1:17" x14ac:dyDescent="0.2">
      <c r="P72" s="9"/>
    </row>
    <row r="75" spans="1:17" x14ac:dyDescent="0.2">
      <c r="B75" t="s">
        <v>79</v>
      </c>
      <c r="C75" t="s">
        <v>80</v>
      </c>
      <c r="D75" t="s">
        <v>81</v>
      </c>
      <c r="E75" t="s">
        <v>82</v>
      </c>
      <c r="I75" s="6" t="s">
        <v>83</v>
      </c>
      <c r="J75" t="s">
        <v>87</v>
      </c>
      <c r="K75" t="s">
        <v>88</v>
      </c>
      <c r="O75" s="9"/>
      <c r="Q75" s="9"/>
    </row>
    <row r="76" spans="1:17" x14ac:dyDescent="0.2">
      <c r="A76" t="s">
        <v>24</v>
      </c>
      <c r="B76">
        <f>SUM(B3:D3)</f>
        <v>5141.32</v>
      </c>
      <c r="C76">
        <f>SUM(E3:G3)</f>
        <v>8237.06</v>
      </c>
      <c r="D76">
        <f>SUM(H3:J3)</f>
        <v>9591.94</v>
      </c>
      <c r="E76">
        <f>SUM(K3:M3)</f>
        <v>5914.83</v>
      </c>
      <c r="F76" t="str">
        <f>_xlfn.TEXTJOIN(",", TRUE, B76, C76, D76, E76)</f>
        <v>5141.32,8237.06,9591.94,5914.83</v>
      </c>
      <c r="I76" s="4">
        <v>18.7</v>
      </c>
      <c r="J76" s="4">
        <v>20047.09</v>
      </c>
      <c r="K76">
        <f>I76*$C$95</f>
        <v>156.03754062836398</v>
      </c>
      <c r="O76" s="9"/>
      <c r="Q76" s="9"/>
    </row>
    <row r="77" spans="1:17" x14ac:dyDescent="0.2">
      <c r="A77" t="s">
        <v>25</v>
      </c>
      <c r="B77">
        <f>SUM(B12:D12)</f>
        <v>10651.71</v>
      </c>
      <c r="C77">
        <f>SUM(E12:G12)</f>
        <v>16658.78</v>
      </c>
      <c r="D77">
        <f>SUM(H12:J12)</f>
        <v>19408.82</v>
      </c>
      <c r="E77">
        <f>SUM(K12:M12)</f>
        <v>12082.68</v>
      </c>
      <c r="F77" t="str">
        <f t="shared" ref="F77:F83" si="0">_xlfn.TEXTJOIN(",", TRUE, B77, C77, D77, E77)</f>
        <v>10651.71,16658.78,19408.82,12082.68</v>
      </c>
      <c r="I77" s="4">
        <v>37.4</v>
      </c>
      <c r="J77" s="4">
        <v>32570.23</v>
      </c>
      <c r="K77">
        <f t="shared" ref="K77:K83" si="1">I77*$C$95</f>
        <v>312.07508125672797</v>
      </c>
      <c r="O77" s="9"/>
      <c r="Q77" s="9"/>
    </row>
    <row r="78" spans="1:17" x14ac:dyDescent="0.2">
      <c r="A78" t="s">
        <v>48</v>
      </c>
      <c r="B78">
        <f>SUM(B21:D21)</f>
        <v>26553.22</v>
      </c>
      <c r="C78">
        <f>SUM(E21:G21)</f>
        <v>41479.699999999997</v>
      </c>
      <c r="D78">
        <f>SUM(H21:J21)</f>
        <v>48327.1</v>
      </c>
      <c r="E78">
        <f>SUM(K21:M21)</f>
        <v>30086.78</v>
      </c>
      <c r="F78" t="str">
        <f t="shared" si="0"/>
        <v>26553.22,41479.7,48327.1,30086.78</v>
      </c>
      <c r="I78" s="4">
        <v>93.5</v>
      </c>
      <c r="J78" s="4">
        <v>59337.98</v>
      </c>
      <c r="K78">
        <f t="shared" si="1"/>
        <v>780.18770314181984</v>
      </c>
      <c r="O78" s="9"/>
      <c r="Q78" s="9"/>
    </row>
    <row r="79" spans="1:17" x14ac:dyDescent="0.2">
      <c r="A79" t="s">
        <v>53</v>
      </c>
      <c r="B79">
        <f>SUM(B30:D30)</f>
        <v>47351.1</v>
      </c>
      <c r="C79">
        <f>SUM(E30:G30)</f>
        <v>74607.7</v>
      </c>
      <c r="D79">
        <f>SUM(H30:J30)</f>
        <v>86964.1</v>
      </c>
      <c r="E79">
        <f>SUM(K30:M30)</f>
        <v>54097.2</v>
      </c>
      <c r="F79" t="str">
        <f t="shared" si="0"/>
        <v>47351.1,74607.7,86964.1,54097.2</v>
      </c>
      <c r="I79" s="4">
        <v>168.3</v>
      </c>
      <c r="J79" s="4">
        <v>88896.68</v>
      </c>
      <c r="K79">
        <f t="shared" si="1"/>
        <v>1404.3378656552759</v>
      </c>
      <c r="O79" s="9"/>
      <c r="Q79" s="9"/>
    </row>
    <row r="80" spans="1:17" x14ac:dyDescent="0.2">
      <c r="A80" t="s">
        <v>58</v>
      </c>
      <c r="B80">
        <f>SUM(B39:D39)</f>
        <v>173325.4</v>
      </c>
      <c r="C80">
        <f>SUM(E39:G39)</f>
        <v>275416.2</v>
      </c>
      <c r="D80">
        <f>SUM(H39:J39)</f>
        <v>318744.5</v>
      </c>
      <c r="E80">
        <f>SUM(K39:M39)</f>
        <v>195308.2</v>
      </c>
      <c r="F80" t="str">
        <f t="shared" si="0"/>
        <v>173325.4,275416.2,318744.5,195308.2</v>
      </c>
      <c r="I80" s="4">
        <v>600.6</v>
      </c>
      <c r="J80" s="4">
        <v>631742.35</v>
      </c>
      <c r="K80">
        <f t="shared" si="1"/>
        <v>5011.5586578286311</v>
      </c>
      <c r="O80" s="9"/>
      <c r="Q80" s="9"/>
    </row>
    <row r="81" spans="1:17" x14ac:dyDescent="0.2">
      <c r="A81" t="s">
        <v>60</v>
      </c>
      <c r="B81">
        <f>SUM(B48:D48)</f>
        <v>346650.2</v>
      </c>
      <c r="C81">
        <f>SUM(E48:G48)</f>
        <v>550832</v>
      </c>
      <c r="D81">
        <f>SUM(H48:J48)</f>
        <v>637491</v>
      </c>
      <c r="E81">
        <f>SUM(K48:M48)</f>
        <v>390616.1</v>
      </c>
      <c r="F81" t="str">
        <f t="shared" si="0"/>
        <v>346650.2,550832,637491,390616.1</v>
      </c>
      <c r="I81" s="4">
        <v>1201.2</v>
      </c>
      <c r="J81" s="4">
        <v>945275.96</v>
      </c>
      <c r="K81">
        <f t="shared" si="1"/>
        <v>10023.117315657262</v>
      </c>
      <c r="O81" s="9"/>
      <c r="Q81" s="9"/>
    </row>
    <row r="82" spans="1:17" x14ac:dyDescent="0.2">
      <c r="A82" t="s">
        <v>61</v>
      </c>
      <c r="B82">
        <f>SUM(B57:D57)</f>
        <v>1733254</v>
      </c>
      <c r="C82">
        <f>SUM(E57:G57)</f>
        <v>2754162</v>
      </c>
      <c r="D82">
        <f>SUM(H57:J57)</f>
        <v>3187445</v>
      </c>
      <c r="E82">
        <f>SUM(K57:M57)</f>
        <v>1953082</v>
      </c>
      <c r="F82" t="str">
        <f t="shared" si="0"/>
        <v>1733254,2754162,3187445,1953082</v>
      </c>
      <c r="I82" s="4">
        <v>6006</v>
      </c>
      <c r="J82" s="4">
        <v>3190170.44</v>
      </c>
      <c r="K82">
        <f t="shared" si="1"/>
        <v>50115.586578286311</v>
      </c>
      <c r="O82" s="9"/>
      <c r="Q82" s="9"/>
    </row>
    <row r="83" spans="1:17" x14ac:dyDescent="0.2">
      <c r="A83" t="s">
        <v>62</v>
      </c>
      <c r="B83">
        <f>SUM(B66:D66)</f>
        <v>3466502</v>
      </c>
      <c r="C83">
        <f>SUM(E66:G66)</f>
        <v>5508320</v>
      </c>
      <c r="D83">
        <f>SUM(H66:J66)</f>
        <v>6374910</v>
      </c>
      <c r="E83">
        <f>SUM(K66:M66)</f>
        <v>3906161</v>
      </c>
      <c r="F83" t="str">
        <f t="shared" si="0"/>
        <v>3466502,5508320,6374910,3906161</v>
      </c>
      <c r="I83" s="4">
        <v>12012</v>
      </c>
      <c r="J83" s="4">
        <v>5832190.2199999997</v>
      </c>
      <c r="K83">
        <f t="shared" si="1"/>
        <v>100231.17315657262</v>
      </c>
      <c r="O83" s="9"/>
      <c r="Q83" s="9"/>
    </row>
    <row r="84" spans="1:17" x14ac:dyDescent="0.2">
      <c r="O84" s="9"/>
      <c r="Q84" s="9"/>
    </row>
    <row r="86" spans="1:17" x14ac:dyDescent="0.2">
      <c r="I86" s="5"/>
    </row>
    <row r="87" spans="1:17" x14ac:dyDescent="0.2">
      <c r="G87" s="4"/>
      <c r="H87" s="4"/>
      <c r="I87" s="4"/>
      <c r="J87" s="4"/>
    </row>
    <row r="88" spans="1:17" x14ac:dyDescent="0.2">
      <c r="I88" s="4"/>
      <c r="J88" s="4"/>
      <c r="K88" s="4"/>
      <c r="L88" s="4"/>
    </row>
    <row r="89" spans="1:17" x14ac:dyDescent="0.2">
      <c r="F89" s="4"/>
      <c r="G89" s="4"/>
      <c r="H89" s="4"/>
      <c r="I89" s="4"/>
    </row>
    <row r="90" spans="1:17" x14ac:dyDescent="0.2">
      <c r="B90" s="10" t="s">
        <v>84</v>
      </c>
      <c r="C90" s="10"/>
      <c r="D90" s="10"/>
    </row>
    <row r="91" spans="1:17" x14ac:dyDescent="0.2">
      <c r="B91">
        <v>1.0756600000000001</v>
      </c>
      <c r="G91" s="4"/>
      <c r="H91" s="4"/>
      <c r="I91" s="4"/>
      <c r="J91" s="4"/>
    </row>
    <row r="93" spans="1:17" x14ac:dyDescent="0.2">
      <c r="C93" t="s">
        <v>85</v>
      </c>
    </row>
    <row r="94" spans="1:17" x14ac:dyDescent="0.2">
      <c r="C94">
        <v>7.7573336458901325</v>
      </c>
      <c r="D94" s="3" t="s">
        <v>31</v>
      </c>
    </row>
    <row r="95" spans="1:17" x14ac:dyDescent="0.2">
      <c r="C95">
        <f>C94*B91</f>
        <v>8.3442535095381807</v>
      </c>
      <c r="D95" s="3" t="s">
        <v>86</v>
      </c>
    </row>
    <row r="102" spans="2:10" x14ac:dyDescent="0.2">
      <c r="B102" t="s">
        <v>0</v>
      </c>
      <c r="C102" t="s">
        <v>24</v>
      </c>
      <c r="D102" t="s">
        <v>25</v>
      </c>
      <c r="E102" t="s">
        <v>48</v>
      </c>
      <c r="F102" t="s">
        <v>53</v>
      </c>
      <c r="G102" t="s">
        <v>58</v>
      </c>
      <c r="H102" t="s">
        <v>60</v>
      </c>
      <c r="I102" t="s">
        <v>61</v>
      </c>
      <c r="J102" t="s">
        <v>62</v>
      </c>
    </row>
    <row r="103" spans="2:10" x14ac:dyDescent="0.2">
      <c r="B103" t="s">
        <v>1</v>
      </c>
      <c r="C103" s="4">
        <v>20047.09</v>
      </c>
      <c r="D103" s="4">
        <v>32570.23</v>
      </c>
      <c r="E103" s="4">
        <v>59337.98</v>
      </c>
      <c r="F103" s="4">
        <v>88896.68</v>
      </c>
      <c r="G103" s="4">
        <v>631742.35</v>
      </c>
      <c r="H103" s="4">
        <v>945275.96</v>
      </c>
      <c r="I103" s="4">
        <v>3190170.44</v>
      </c>
      <c r="J103" s="4">
        <v>5832190.2199999997</v>
      </c>
    </row>
    <row r="104" spans="2:10" x14ac:dyDescent="0.2">
      <c r="B104" t="s">
        <v>2</v>
      </c>
      <c r="C104">
        <v>21.17</v>
      </c>
      <c r="D104">
        <v>21.17</v>
      </c>
      <c r="E104">
        <v>21.17</v>
      </c>
      <c r="F104">
        <v>21.17</v>
      </c>
      <c r="G104">
        <v>21.17</v>
      </c>
      <c r="H104">
        <v>21.17</v>
      </c>
      <c r="I104">
        <v>21.17</v>
      </c>
      <c r="J104">
        <v>21.17</v>
      </c>
    </row>
    <row r="105" spans="2:10" x14ac:dyDescent="0.2">
      <c r="B105" t="s">
        <v>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2:10" x14ac:dyDescent="0.2">
      <c r="B106" t="s">
        <v>4</v>
      </c>
      <c r="C106" t="s">
        <v>97</v>
      </c>
      <c r="D106" t="s">
        <v>98</v>
      </c>
      <c r="E106" t="s">
        <v>99</v>
      </c>
      <c r="F106" t="s">
        <v>100</v>
      </c>
      <c r="G106" t="s">
        <v>101</v>
      </c>
      <c r="H106" t="s">
        <v>102</v>
      </c>
      <c r="I106" t="s">
        <v>103</v>
      </c>
      <c r="J106" t="s">
        <v>104</v>
      </c>
    </row>
    <row r="107" spans="2:10" x14ac:dyDescent="0.2">
      <c r="B107" t="s">
        <v>5</v>
      </c>
      <c r="C107" t="s">
        <v>15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</row>
    <row r="108" spans="2:10" x14ac:dyDescent="0.2">
      <c r="B108" t="s">
        <v>16</v>
      </c>
      <c r="C108">
        <v>25</v>
      </c>
      <c r="D108">
        <v>25</v>
      </c>
      <c r="E108">
        <v>25</v>
      </c>
      <c r="F108">
        <v>25</v>
      </c>
      <c r="G108">
        <v>25</v>
      </c>
      <c r="H108">
        <v>25</v>
      </c>
      <c r="I108">
        <v>25</v>
      </c>
      <c r="J108">
        <v>25</v>
      </c>
    </row>
    <row r="109" spans="2:10" x14ac:dyDescent="0.2">
      <c r="B109" t="s">
        <v>18</v>
      </c>
      <c r="C109" t="s">
        <v>17</v>
      </c>
      <c r="D109" t="s">
        <v>17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</row>
    <row r="110" spans="2:10" x14ac:dyDescent="0.2">
      <c r="B110" t="s">
        <v>19</v>
      </c>
      <c r="C110">
        <v>5.0000000000000001E-3</v>
      </c>
      <c r="D110">
        <v>5.0000000000000001E-3</v>
      </c>
      <c r="E110">
        <v>5.0000000000000001E-3</v>
      </c>
      <c r="F110">
        <v>5.0000000000000001E-3</v>
      </c>
      <c r="G110">
        <v>5.0000000000000001E-3</v>
      </c>
      <c r="H110">
        <v>5.0000000000000001E-3</v>
      </c>
      <c r="I110">
        <v>5.0000000000000001E-3</v>
      </c>
      <c r="J110">
        <v>5.0000000000000001E-3</v>
      </c>
    </row>
    <row r="111" spans="2:10" x14ac:dyDescent="0.2">
      <c r="B111" t="s">
        <v>20</v>
      </c>
      <c r="C111">
        <v>156.03754062836398</v>
      </c>
      <c r="D111">
        <v>312.07508125672797</v>
      </c>
      <c r="E111">
        <v>780.18770314181984</v>
      </c>
      <c r="F111" s="4">
        <v>1404.3378656552759</v>
      </c>
      <c r="G111" s="4">
        <v>5011.5586578286311</v>
      </c>
      <c r="H111" s="4">
        <v>10023.117315657262</v>
      </c>
      <c r="I111" s="4">
        <v>50115.586578286311</v>
      </c>
      <c r="J111" s="4">
        <v>100231.17315657262</v>
      </c>
    </row>
    <row r="112" spans="2:10" x14ac:dyDescent="0.2">
      <c r="B112" t="s">
        <v>21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2:10" x14ac:dyDescent="0.2">
      <c r="B113" t="s">
        <v>22</v>
      </c>
      <c r="C113">
        <v>2.5000000000000001E-2</v>
      </c>
      <c r="D113">
        <v>2.5000000000000001E-2</v>
      </c>
      <c r="E113">
        <v>2.5000000000000001E-2</v>
      </c>
      <c r="F113">
        <v>2.5000000000000001E-2</v>
      </c>
      <c r="G113">
        <v>2.5000000000000001E-2</v>
      </c>
      <c r="H113">
        <v>2.5000000000000001E-2</v>
      </c>
      <c r="I113">
        <v>2.5000000000000001E-2</v>
      </c>
      <c r="J113">
        <v>2.5000000000000001E-2</v>
      </c>
    </row>
    <row r="114" spans="2:10" x14ac:dyDescent="0.2">
      <c r="B114" t="s">
        <v>23</v>
      </c>
      <c r="C114" s="7">
        <f>C103</f>
        <v>20047.09</v>
      </c>
      <c r="D114" s="7">
        <f>D103</f>
        <v>32570.23</v>
      </c>
      <c r="E114" s="7">
        <f t="shared" ref="E114:J114" si="2">E103</f>
        <v>59337.98</v>
      </c>
      <c r="F114" s="7">
        <f t="shared" si="2"/>
        <v>88896.68</v>
      </c>
      <c r="G114" s="7">
        <f t="shared" si="2"/>
        <v>631742.35</v>
      </c>
      <c r="H114" s="7">
        <f t="shared" si="2"/>
        <v>945275.96</v>
      </c>
      <c r="I114" s="7">
        <f t="shared" si="2"/>
        <v>3190170.44</v>
      </c>
      <c r="J114" s="7">
        <f t="shared" si="2"/>
        <v>5832190.2199999997</v>
      </c>
    </row>
    <row r="115" spans="2:10" x14ac:dyDescent="0.2">
      <c r="B115" t="s">
        <v>26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</sheetData>
  <mergeCells count="25">
    <mergeCell ref="B90:D90"/>
    <mergeCell ref="H64:I64"/>
    <mergeCell ref="D64:E64"/>
    <mergeCell ref="F55:G55"/>
    <mergeCell ref="F64:G64"/>
    <mergeCell ref="D46:E46"/>
    <mergeCell ref="F46:G46"/>
    <mergeCell ref="H46:I46"/>
    <mergeCell ref="D55:E55"/>
    <mergeCell ref="H55:I55"/>
    <mergeCell ref="D28:E28"/>
    <mergeCell ref="F28:G28"/>
    <mergeCell ref="H28:I28"/>
    <mergeCell ref="D37:E37"/>
    <mergeCell ref="F37:G37"/>
    <mergeCell ref="H37:I37"/>
    <mergeCell ref="D19:E19"/>
    <mergeCell ref="H19:I19"/>
    <mergeCell ref="F19:G19"/>
    <mergeCell ref="D1:E1"/>
    <mergeCell ref="F1:G1"/>
    <mergeCell ref="H1:I1"/>
    <mergeCell ref="D10:E10"/>
    <mergeCell ref="F10:G10"/>
    <mergeCell ref="H10:I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AB95-499B-884C-8EAD-AAE9CFA64804}">
  <dimension ref="A3:L73"/>
  <sheetViews>
    <sheetView zoomScale="114" zoomScaleNormal="100" workbookViewId="0">
      <selection activeCell="H16" sqref="H16"/>
    </sheetView>
  </sheetViews>
  <sheetFormatPr baseColWidth="10" defaultRowHeight="16" x14ac:dyDescent="0.2"/>
  <cols>
    <col min="5" max="5" width="10.83203125" customWidth="1"/>
  </cols>
  <sheetData>
    <row r="3" spans="2:4" x14ac:dyDescent="0.2">
      <c r="B3" s="8" t="s">
        <v>89</v>
      </c>
    </row>
    <row r="4" spans="2:4" x14ac:dyDescent="0.2">
      <c r="B4" s="8" t="s">
        <v>90</v>
      </c>
    </row>
    <row r="5" spans="2:4" x14ac:dyDescent="0.2">
      <c r="B5" s="8" t="s">
        <v>91</v>
      </c>
    </row>
    <row r="6" spans="2:4" x14ac:dyDescent="0.2">
      <c r="B6" s="8" t="s">
        <v>92</v>
      </c>
    </row>
    <row r="9" spans="2:4" x14ac:dyDescent="0.2">
      <c r="B9" s="8" t="s">
        <v>93</v>
      </c>
    </row>
    <row r="10" spans="2:4" x14ac:dyDescent="0.2">
      <c r="B10" s="8" t="s">
        <v>94</v>
      </c>
    </row>
    <row r="11" spans="2:4" x14ac:dyDescent="0.2">
      <c r="B11" s="8" t="s">
        <v>95</v>
      </c>
    </row>
    <row r="12" spans="2:4" x14ac:dyDescent="0.2">
      <c r="B12" s="8" t="s">
        <v>89</v>
      </c>
      <c r="C12" s="1"/>
    </row>
    <row r="14" spans="2:4" x14ac:dyDescent="0.2">
      <c r="D14" s="1"/>
    </row>
    <row r="30" spans="2:4" x14ac:dyDescent="0.2">
      <c r="B30" t="s">
        <v>27</v>
      </c>
    </row>
    <row r="32" spans="2:4" x14ac:dyDescent="0.2">
      <c r="B32" s="2"/>
      <c r="C32" s="2" t="s">
        <v>28</v>
      </c>
      <c r="D32" s="2" t="s">
        <v>29</v>
      </c>
    </row>
    <row r="33" spans="2:5" x14ac:dyDescent="0.2">
      <c r="B33" s="2" t="s">
        <v>30</v>
      </c>
      <c r="C33" s="2" t="s">
        <v>31</v>
      </c>
      <c r="D33" s="2" t="s">
        <v>31</v>
      </c>
    </row>
    <row r="34" spans="2:5" x14ac:dyDescent="0.2">
      <c r="B34" s="2">
        <v>2010</v>
      </c>
      <c r="C34" s="2">
        <v>27.1</v>
      </c>
      <c r="D34" s="2">
        <v>25.6</v>
      </c>
    </row>
    <row r="35" spans="2:5" x14ac:dyDescent="0.2">
      <c r="B35" s="2">
        <v>2011</v>
      </c>
      <c r="C35" s="2">
        <v>24</v>
      </c>
      <c r="D35" s="2">
        <v>23.5</v>
      </c>
      <c r="E35">
        <f>-LN(D35/D34)</f>
        <v>8.5591930335403507E-2</v>
      </c>
    </row>
    <row r="36" spans="2:5" x14ac:dyDescent="0.2">
      <c r="B36" s="2">
        <v>2012</v>
      </c>
      <c r="C36" s="2">
        <v>23.4</v>
      </c>
      <c r="D36" s="2">
        <v>18.2</v>
      </c>
      <c r="E36">
        <f t="shared" ref="E36:E46" si="0">-LN(D36/D35)</f>
        <v>0.25557882706736362</v>
      </c>
    </row>
    <row r="37" spans="2:5" x14ac:dyDescent="0.2">
      <c r="B37" s="2">
        <v>2013</v>
      </c>
      <c r="C37" s="2">
        <v>22.9</v>
      </c>
      <c r="D37" s="2">
        <v>15.4</v>
      </c>
      <c r="E37">
        <f t="shared" si="0"/>
        <v>0.16705408466316607</v>
      </c>
    </row>
    <row r="38" spans="2:5" x14ac:dyDescent="0.2">
      <c r="B38" s="2">
        <v>2014</v>
      </c>
      <c r="C38" s="2">
        <v>22.4</v>
      </c>
      <c r="D38" s="2">
        <v>13.7</v>
      </c>
      <c r="E38">
        <f t="shared" si="0"/>
        <v>0.11697167658550435</v>
      </c>
    </row>
    <row r="39" spans="2:5" x14ac:dyDescent="0.2">
      <c r="B39" s="2">
        <v>2015</v>
      </c>
      <c r="C39" s="2">
        <v>21.7</v>
      </c>
      <c r="D39" s="2">
        <v>12.4</v>
      </c>
      <c r="E39">
        <f t="shared" si="0"/>
        <v>9.9699360223087924E-2</v>
      </c>
    </row>
    <row r="40" spans="2:5" x14ac:dyDescent="0.2">
      <c r="B40" s="2">
        <v>2016</v>
      </c>
      <c r="C40" s="2">
        <v>21.1</v>
      </c>
      <c r="D40" s="2">
        <v>11.3</v>
      </c>
      <c r="E40">
        <f t="shared" si="0"/>
        <v>9.2893746892696208E-2</v>
      </c>
    </row>
    <row r="41" spans="2:5" x14ac:dyDescent="0.2">
      <c r="B41" s="2">
        <v>2017</v>
      </c>
      <c r="C41" s="2">
        <v>21.5</v>
      </c>
      <c r="D41" s="2">
        <v>10.9</v>
      </c>
      <c r="E41">
        <f t="shared" si="0"/>
        <v>3.6039936483196928E-2</v>
      </c>
    </row>
    <row r="42" spans="2:5" x14ac:dyDescent="0.2">
      <c r="B42" s="2">
        <v>2018</v>
      </c>
      <c r="C42" s="2">
        <v>20.100000000000001</v>
      </c>
      <c r="D42" s="2">
        <v>10.4</v>
      </c>
      <c r="E42">
        <f t="shared" si="0"/>
        <v>4.6956983087770979E-2</v>
      </c>
    </row>
    <row r="43" spans="2:5" x14ac:dyDescent="0.2">
      <c r="B43" s="2">
        <v>2019</v>
      </c>
      <c r="C43" s="2">
        <v>19.2</v>
      </c>
      <c r="D43" s="2">
        <v>9.9</v>
      </c>
      <c r="E43">
        <f t="shared" si="0"/>
        <v>4.9271049006782794E-2</v>
      </c>
    </row>
    <row r="44" spans="2:5" x14ac:dyDescent="0.2">
      <c r="B44" s="2">
        <v>2020</v>
      </c>
      <c r="C44" s="2">
        <v>18.2</v>
      </c>
      <c r="D44" s="2">
        <v>9.6</v>
      </c>
      <c r="E44">
        <f t="shared" si="0"/>
        <v>3.0771658666753774E-2</v>
      </c>
    </row>
    <row r="45" spans="2:5" x14ac:dyDescent="0.2">
      <c r="B45" s="2">
        <v>2021</v>
      </c>
      <c r="C45" s="2">
        <v>18.2</v>
      </c>
      <c r="D45" s="2">
        <v>9.6</v>
      </c>
      <c r="E45">
        <f t="shared" si="0"/>
        <v>0</v>
      </c>
    </row>
    <row r="46" spans="2:5" x14ac:dyDescent="0.2">
      <c r="B46" s="2">
        <v>2022</v>
      </c>
      <c r="C46" s="2">
        <v>17.8</v>
      </c>
      <c r="D46" s="2">
        <v>9.1999999999999993</v>
      </c>
      <c r="E46">
        <f t="shared" si="0"/>
        <v>4.2559614418796007E-2</v>
      </c>
    </row>
    <row r="47" spans="2:5" x14ac:dyDescent="0.2">
      <c r="D47">
        <f>D46*$F$50</f>
        <v>8.4479269375503723</v>
      </c>
    </row>
    <row r="48" spans="2:5" x14ac:dyDescent="0.2">
      <c r="D48">
        <f t="shared" ref="D48:D52" si="1">D47*$F$50</f>
        <v>7.7573336458901325</v>
      </c>
    </row>
    <row r="49" spans="1:10" x14ac:dyDescent="0.2">
      <c r="D49">
        <f t="shared" si="1"/>
        <v>7.1231943337696846</v>
      </c>
      <c r="F49">
        <f>AVERAGE(E35:E46)</f>
        <v>8.5282405619210189E-2</v>
      </c>
    </row>
    <row r="50" spans="1:10" x14ac:dyDescent="0.2">
      <c r="D50">
        <f t="shared" si="1"/>
        <v>6.5408940536585982</v>
      </c>
      <c r="F50">
        <f>EXP(-F49)</f>
        <v>0.91825292799460578</v>
      </c>
    </row>
    <row r="51" spans="1:10" x14ac:dyDescent="0.2">
      <c r="D51">
        <f t="shared" si="1"/>
        <v>6.0061951164745135</v>
      </c>
    </row>
    <row r="52" spans="1:10" x14ac:dyDescent="0.2">
      <c r="D52">
        <f t="shared" si="1"/>
        <v>5.5152062518096248</v>
      </c>
    </row>
    <row r="57" spans="1:10" x14ac:dyDescent="0.2">
      <c r="C57" t="s">
        <v>106</v>
      </c>
      <c r="D57" t="s">
        <v>111</v>
      </c>
      <c r="E57" t="s">
        <v>112</v>
      </c>
      <c r="F57" t="s">
        <v>113</v>
      </c>
      <c r="G57" t="s">
        <v>114</v>
      </c>
      <c r="H57" t="s">
        <v>115</v>
      </c>
      <c r="I57" t="s">
        <v>116</v>
      </c>
      <c r="J57" t="s">
        <v>117</v>
      </c>
    </row>
    <row r="58" spans="1:10" x14ac:dyDescent="0.2">
      <c r="A58" t="s">
        <v>107</v>
      </c>
      <c r="C58">
        <f>3179+1951</f>
        <v>5130</v>
      </c>
      <c r="D58">
        <f>6358+1952</f>
        <v>8310</v>
      </c>
      <c r="E58">
        <f>15895+3904</f>
        <v>19799</v>
      </c>
      <c r="F58">
        <f>28611+5856</f>
        <v>34467</v>
      </c>
      <c r="G58">
        <f>102102+11536</f>
        <v>113638</v>
      </c>
      <c r="H58">
        <f>204204+23072</f>
        <v>227276</v>
      </c>
      <c r="I58">
        <f>1021020+115360</f>
        <v>1136380</v>
      </c>
      <c r="J58">
        <f>2042040+230720</f>
        <v>2272760</v>
      </c>
    </row>
    <row r="59" spans="1:10" x14ac:dyDescent="0.2">
      <c r="A59" t="s">
        <v>108</v>
      </c>
      <c r="C59">
        <v>10941</v>
      </c>
      <c r="D59">
        <v>19651</v>
      </c>
      <c r="E59">
        <v>35396</v>
      </c>
      <c r="F59">
        <v>53924</v>
      </c>
      <c r="G59">
        <v>323503</v>
      </c>
      <c r="H59">
        <v>505567</v>
      </c>
      <c r="I59">
        <v>1966399</v>
      </c>
      <c r="J59">
        <v>3681480</v>
      </c>
    </row>
    <row r="60" spans="1:10" x14ac:dyDescent="0.2">
      <c r="A60" t="s">
        <v>109</v>
      </c>
      <c r="C60">
        <v>16989</v>
      </c>
      <c r="D60">
        <v>27601</v>
      </c>
      <c r="E60">
        <v>50286</v>
      </c>
      <c r="F60">
        <v>75336</v>
      </c>
      <c r="G60">
        <v>535374</v>
      </c>
      <c r="H60">
        <v>801081</v>
      </c>
      <c r="I60">
        <v>2703534</v>
      </c>
      <c r="J60">
        <v>4942534</v>
      </c>
    </row>
    <row r="61" spans="1:10" x14ac:dyDescent="0.2">
      <c r="A61" t="s">
        <v>110</v>
      </c>
      <c r="C61">
        <v>20047</v>
      </c>
      <c r="D61">
        <v>32570</v>
      </c>
      <c r="E61">
        <v>59338</v>
      </c>
      <c r="F61">
        <v>88897</v>
      </c>
      <c r="G61">
        <v>631742</v>
      </c>
      <c r="H61">
        <v>945276</v>
      </c>
      <c r="I61">
        <v>3190170</v>
      </c>
      <c r="J61">
        <v>5832190</v>
      </c>
    </row>
    <row r="65" spans="1:12" x14ac:dyDescent="0.2">
      <c r="A65" t="s">
        <v>107</v>
      </c>
      <c r="C65">
        <f>C58/C$61</f>
        <v>0.25589863820022946</v>
      </c>
      <c r="D65">
        <f t="shared" ref="D65:J65" si="2">D58/D$61</f>
        <v>0.25514276941971137</v>
      </c>
      <c r="E65">
        <f t="shared" si="2"/>
        <v>0.33366476793960026</v>
      </c>
      <c r="F65">
        <f t="shared" si="2"/>
        <v>0.38771837069867376</v>
      </c>
      <c r="G65">
        <f t="shared" si="2"/>
        <v>0.17988039421156105</v>
      </c>
      <c r="H65">
        <f t="shared" si="2"/>
        <v>0.24043348186138228</v>
      </c>
      <c r="I65">
        <f t="shared" si="2"/>
        <v>0.3562129917841369</v>
      </c>
      <c r="J65">
        <f t="shared" si="2"/>
        <v>0.38969237970642245</v>
      </c>
    </row>
    <row r="66" spans="1:12" x14ac:dyDescent="0.2">
      <c r="A66" t="s">
        <v>108</v>
      </c>
      <c r="C66">
        <f t="shared" ref="C66:J67" si="3">C59/C$61</f>
        <v>0.54576744650072329</v>
      </c>
      <c r="D66">
        <f t="shared" si="3"/>
        <v>0.60334663801043908</v>
      </c>
      <c r="E66">
        <f t="shared" si="3"/>
        <v>0.59651488085206783</v>
      </c>
      <c r="F66">
        <f t="shared" si="3"/>
        <v>0.60658964869455667</v>
      </c>
      <c r="G66">
        <f t="shared" si="3"/>
        <v>0.51208088111919103</v>
      </c>
      <c r="H66">
        <f t="shared" si="3"/>
        <v>0.53483532851780857</v>
      </c>
      <c r="I66">
        <f t="shared" si="3"/>
        <v>0.61639317026992291</v>
      </c>
      <c r="J66">
        <f t="shared" si="3"/>
        <v>0.63123457912036474</v>
      </c>
      <c r="K66">
        <f>AVERAGE(C66:J66)</f>
        <v>0.58084532163563429</v>
      </c>
      <c r="L66">
        <v>0.57999999999999996</v>
      </c>
    </row>
    <row r="67" spans="1:12" x14ac:dyDescent="0.2">
      <c r="A67" t="s">
        <v>109</v>
      </c>
      <c r="C67">
        <f t="shared" si="3"/>
        <v>0.84745847258941487</v>
      </c>
      <c r="D67">
        <f t="shared" si="3"/>
        <v>0.84743629106539764</v>
      </c>
      <c r="E67">
        <f t="shared" si="3"/>
        <v>0.84745020054602449</v>
      </c>
      <c r="F67">
        <f t="shared" si="3"/>
        <v>0.84745266994386759</v>
      </c>
      <c r="G67">
        <f t="shared" si="3"/>
        <v>0.8474567149247636</v>
      </c>
      <c r="H67">
        <f t="shared" si="3"/>
        <v>0.84745725058078281</v>
      </c>
      <c r="I67">
        <f t="shared" si="3"/>
        <v>0.84745765899622905</v>
      </c>
      <c r="J67">
        <f t="shared" si="3"/>
        <v>0.84745764455547568</v>
      </c>
    </row>
    <row r="72" spans="1:12" x14ac:dyDescent="0.2">
      <c r="K72">
        <f>1-K66</f>
        <v>0.41915467836436571</v>
      </c>
      <c r="L72">
        <f>1-L66</f>
        <v>0.42000000000000004</v>
      </c>
    </row>
    <row r="73" spans="1:12" x14ac:dyDescent="0.2">
      <c r="K73">
        <f>K72/25</f>
        <v>1.6766187134574628E-2</v>
      </c>
      <c r="L73">
        <f>L72/25</f>
        <v>1.6800000000000002E-2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Initial values</vt:lpstr>
      <vt:lpstr>Initial values seasonal</vt:lpstr>
      <vt:lpstr>Advancements3</vt:lpstr>
      <vt:lpstr>Advancements2</vt:lpstr>
      <vt:lpstr>Extras1</vt:lpstr>
      <vt:lpstr>Extras2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2025-01-27T22:18:17Z</dcterms:modified>
</cp:coreProperties>
</file>