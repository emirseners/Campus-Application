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rsener/Desktop/Campus-Application/"/>
    </mc:Choice>
  </mc:AlternateContent>
  <xr:revisionPtr revIDLastSave="0" documentId="13_ncr:1_{73AAAB3B-DF72-8D4B-BFBC-7BFCD43EB45A}" xr6:coauthVersionLast="47" xr6:coauthVersionMax="47" xr10:uidLastSave="{00000000-0000-0000-0000-000000000000}"/>
  <bookViews>
    <workbookView xWindow="0" yWindow="500" windowWidth="28800" windowHeight="15940" activeTab="1" xr2:uid="{EDF38AB8-B67A-6545-84A8-C231FAB8949A}"/>
  </bookViews>
  <sheets>
    <sheet name="Initial values" sheetId="5" r:id="rId1"/>
    <sheet name="Initial values seasonal" sheetId="1" r:id="rId2"/>
    <sheet name="Advancements1" sheetId="2" r:id="rId3"/>
    <sheet name="Extras1" sheetId="4" r:id="rId4"/>
    <sheet name="Extras2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J21" i="6"/>
  <c r="J22" i="6" s="1"/>
  <c r="J23" i="6" s="1"/>
  <c r="J24" i="6" s="1"/>
  <c r="J25" i="6" s="1"/>
  <c r="J26" i="6" s="1"/>
  <c r="J27" i="6" s="1"/>
  <c r="J20" i="6"/>
  <c r="F27" i="6"/>
  <c r="F26" i="6"/>
  <c r="F25" i="6"/>
  <c r="F21" i="6"/>
  <c r="F20" i="6"/>
  <c r="F19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3" i="6"/>
  <c r="I9" i="5" l="1"/>
  <c r="C9" i="5"/>
  <c r="D9" i="5"/>
  <c r="E9" i="5"/>
  <c r="F9" i="5"/>
  <c r="G9" i="5"/>
  <c r="H9" i="5"/>
  <c r="B9" i="5"/>
  <c r="I10" i="5"/>
  <c r="H10" i="5"/>
  <c r="G10" i="5"/>
  <c r="F10" i="5"/>
  <c r="E10" i="5"/>
  <c r="D10" i="5"/>
  <c r="C10" i="5"/>
  <c r="B10" i="5"/>
  <c r="F123" i="4"/>
  <c r="F122" i="4"/>
  <c r="I13" i="1"/>
  <c r="C13" i="1"/>
  <c r="D13" i="1"/>
  <c r="E13" i="1"/>
  <c r="F13" i="1"/>
  <c r="G13" i="1"/>
  <c r="H13" i="1"/>
  <c r="B13" i="1"/>
  <c r="H120" i="4"/>
  <c r="H119" i="4"/>
  <c r="G118" i="4"/>
  <c r="G119" i="4"/>
  <c r="G120" i="4" s="1"/>
  <c r="C151" i="4"/>
  <c r="A93" i="4"/>
  <c r="A86" i="4"/>
  <c r="A92" i="4"/>
  <c r="A91" i="4"/>
  <c r="A90" i="4"/>
  <c r="A89" i="4"/>
  <c r="A88" i="4"/>
  <c r="A87" i="4"/>
  <c r="C117" i="4"/>
  <c r="C116" i="4"/>
  <c r="L93" i="4"/>
  <c r="L92" i="4"/>
  <c r="L91" i="4"/>
  <c r="H92" i="4"/>
  <c r="H93" i="4"/>
  <c r="G93" i="4"/>
  <c r="F93" i="4"/>
  <c r="E93" i="4"/>
  <c r="D93" i="4"/>
  <c r="G92" i="4"/>
  <c r="F92" i="4"/>
  <c r="E92" i="4"/>
  <c r="D92" i="4"/>
  <c r="D91" i="4"/>
  <c r="D138" i="4" l="1"/>
  <c r="D139" i="4"/>
  <c r="D140" i="4"/>
  <c r="D141" i="4"/>
  <c r="D142" i="4"/>
  <c r="D143" i="4"/>
  <c r="D144" i="4"/>
  <c r="D145" i="4"/>
  <c r="D146" i="4"/>
  <c r="D147" i="4"/>
  <c r="D148" i="4"/>
  <c r="D149" i="4"/>
  <c r="D150" i="4"/>
  <c r="D137" i="4"/>
  <c r="C123" i="4"/>
  <c r="C128" i="4"/>
  <c r="F153" i="4" l="1"/>
  <c r="F154" i="4" s="1"/>
  <c r="C152" i="4" s="1"/>
  <c r="L89" i="4" s="1"/>
  <c r="C115" i="4"/>
  <c r="L87" i="4" l="1"/>
  <c r="L86" i="4"/>
  <c r="L90" i="4"/>
  <c r="C153" i="4"/>
  <c r="C154" i="4" s="1"/>
  <c r="C155" i="4" s="1"/>
  <c r="C156" i="4" s="1"/>
  <c r="C157" i="4" s="1"/>
  <c r="C158" i="4" s="1"/>
  <c r="L88" i="4"/>
  <c r="G91" i="4" l="1"/>
  <c r="G103" i="4" s="1"/>
  <c r="F91" i="4"/>
  <c r="F103" i="4" s="1"/>
  <c r="E91" i="4"/>
  <c r="E103" i="4" s="1"/>
  <c r="G90" i="4"/>
  <c r="G102" i="4" s="1"/>
  <c r="F90" i="4"/>
  <c r="F102" i="4" s="1"/>
  <c r="E90" i="4"/>
  <c r="E102" i="4" s="1"/>
  <c r="D90" i="4"/>
  <c r="G89" i="4"/>
  <c r="G101" i="4" s="1"/>
  <c r="F89" i="4"/>
  <c r="F101" i="4" s="1"/>
  <c r="E89" i="4"/>
  <c r="E101" i="4" s="1"/>
  <c r="D89" i="4"/>
  <c r="G88" i="4"/>
  <c r="G100" i="4" s="1"/>
  <c r="F88" i="4"/>
  <c r="F100" i="4" s="1"/>
  <c r="E88" i="4"/>
  <c r="E100" i="4" s="1"/>
  <c r="D88" i="4"/>
  <c r="D87" i="4"/>
  <c r="D99" i="4" s="1"/>
  <c r="G87" i="4"/>
  <c r="G99" i="4" s="1"/>
  <c r="F87" i="4"/>
  <c r="F99" i="4" s="1"/>
  <c r="E87" i="4"/>
  <c r="E99" i="4" s="1"/>
  <c r="D86" i="4"/>
  <c r="D98" i="4" s="1"/>
  <c r="G86" i="4"/>
  <c r="G98" i="4" s="1"/>
  <c r="F86" i="4"/>
  <c r="F98" i="4" s="1"/>
  <c r="E86" i="4"/>
  <c r="E98" i="4" s="1"/>
  <c r="H88" i="4" l="1"/>
  <c r="H91" i="4"/>
  <c r="H89" i="4"/>
  <c r="H90" i="4"/>
  <c r="D103" i="4"/>
  <c r="D102" i="4"/>
  <c r="D101" i="4"/>
  <c r="D100" i="4"/>
  <c r="H86" i="4"/>
  <c r="H87" i="4"/>
  <c r="B6" i="2"/>
</calcChain>
</file>

<file path=xl/sharedStrings.xml><?xml version="1.0" encoding="utf-8"?>
<sst xmlns="http://schemas.openxmlformats.org/spreadsheetml/2006/main" count="265" uniqueCount="104">
  <si>
    <t>Metrics</t>
  </si>
  <si>
    <t>Initial Cost</t>
  </si>
  <si>
    <t>Initial Efficiency</t>
  </si>
  <si>
    <t>Initial Emission</t>
  </si>
  <si>
    <t>Periodic Electricity Production</t>
  </si>
  <si>
    <t>Periodic Thermal Production</t>
  </si>
  <si>
    <t>Probabilities</t>
  </si>
  <si>
    <t>Cost Multiplier</t>
  </si>
  <si>
    <t>Efficiency Multiplier</t>
  </si>
  <si>
    <t>Emission Multiplier</t>
  </si>
  <si>
    <t>Cost Ratio</t>
  </si>
  <si>
    <t>Efficiency Ratio</t>
  </si>
  <si>
    <t>Scenario1</t>
  </si>
  <si>
    <t>0,0,0,0</t>
  </si>
  <si>
    <t>Lifetime</t>
  </si>
  <si>
    <t>Clean</t>
  </si>
  <si>
    <t>Segment</t>
  </si>
  <si>
    <t>Degradation rate</t>
  </si>
  <si>
    <t>Initial O&amp;M cost</t>
  </si>
  <si>
    <t>O&amp;M cost change by age</t>
  </si>
  <si>
    <t>Depreciation rate</t>
  </si>
  <si>
    <t>Initial tech salvage value</t>
  </si>
  <si>
    <t>Initial Amount</t>
  </si>
  <si>
    <t>Enercon E-44</t>
  </si>
  <si>
    <t>Model</t>
  </si>
  <si>
    <t>Rated Power</t>
  </si>
  <si>
    <t>Rated Power (kw)</t>
  </si>
  <si>
    <t>Rotor Diameter (m)</t>
  </si>
  <si>
    <t>Cut-in wind speed (m/s)</t>
  </si>
  <si>
    <t>Rated wind speed (m/s)</t>
  </si>
  <si>
    <t>Cut-out wind speed (m/s)</t>
  </si>
  <si>
    <t>Hub height (m)</t>
  </si>
  <si>
    <t>45/55</t>
  </si>
  <si>
    <t>Defined hub height (m)</t>
  </si>
  <si>
    <t>Simulation outputs</t>
  </si>
  <si>
    <t>jan</t>
  </si>
  <si>
    <t>feb</t>
  </si>
  <si>
    <t>april</t>
  </si>
  <si>
    <t>march</t>
  </si>
  <si>
    <t>Enercon E-82</t>
  </si>
  <si>
    <t>78/85/98/108/138</t>
  </si>
  <si>
    <t>Enercon E-70</t>
  </si>
  <si>
    <t>58/64/70/85/98/99/113</t>
  </si>
  <si>
    <t>Vestas V90</t>
  </si>
  <si>
    <t>65-105</t>
  </si>
  <si>
    <t>Vestas V82</t>
  </si>
  <si>
    <t>59-108</t>
  </si>
  <si>
    <t>Vestas V52</t>
  </si>
  <si>
    <t>36.5/40/44/49/55/60/65/70/74/86 </t>
  </si>
  <si>
    <t>Q1</t>
  </si>
  <si>
    <t>Q2</t>
  </si>
  <si>
    <t>Q3</t>
  </si>
  <si>
    <t>Q4</t>
  </si>
  <si>
    <t>Seasonal Output kWh</t>
  </si>
  <si>
    <t>Version1</t>
  </si>
  <si>
    <t>Version2</t>
  </si>
  <si>
    <t>Version3</t>
  </si>
  <si>
    <t>Version4</t>
  </si>
  <si>
    <t>Version5</t>
  </si>
  <si>
    <t>Version6</t>
  </si>
  <si>
    <t>24MW</t>
  </si>
  <si>
    <t>1MW</t>
  </si>
  <si>
    <t>Vestas average turbine selling price in 2023</t>
  </si>
  <si>
    <t>2022USD/MW</t>
  </si>
  <si>
    <t>Chinese turbine price in 2022</t>
  </si>
  <si>
    <t>2024USD/MW</t>
  </si>
  <si>
    <t>135756.625,101216.975,101966.325,81962.125</t>
  </si>
  <si>
    <t>603989.25,461937.925,483683.25,364889.025</t>
  </si>
  <si>
    <t>472581.25,354581.45,362762.25,282265.575</t>
  </si>
  <si>
    <t>607253.75,453880.025,468407,360940.55</t>
  </si>
  <si>
    <t>641216,507398.45,565767,403365.8</t>
  </si>
  <si>
    <t>113092,80781.35,82349.65,63238.25</t>
  </si>
  <si>
    <t>türbin giderleri $</t>
  </si>
  <si>
    <t>inşaat + genel idari giderler $</t>
  </si>
  <si>
    <t>şalt tesisi yapım işleri</t>
  </si>
  <si>
    <t>enerji nakil hattı yapım işleri $</t>
  </si>
  <si>
    <t>Shear coef:</t>
  </si>
  <si>
    <t>Prices 2024 USD</t>
  </si>
  <si>
    <t>O&amp;M Cost 2024 USD</t>
  </si>
  <si>
    <t>Cumulative rate of inflation from 2022 to 2024</t>
  </si>
  <si>
    <t>Rated Power kW</t>
  </si>
  <si>
    <t>O&amp;M costs (2022  USD/kW/year) IRENA</t>
  </si>
  <si>
    <t>Initial Full-Service Contracts</t>
  </si>
  <si>
    <t>Ln Ratio</t>
  </si>
  <si>
    <t>2024 6MW 4 turbine Goldwind 165 m rotor diameter 100 m hub height project budget in 2024USD</t>
  </si>
  <si>
    <t>Siemens 3.6MW</t>
  </si>
  <si>
    <t>Siemens G128</t>
  </si>
  <si>
    <t>81/120/140</t>
  </si>
  <si>
    <t>Version7</t>
  </si>
  <si>
    <t>Version8</t>
  </si>
  <si>
    <t>898944.25,688793.5,719432.75,549341.25</t>
  </si>
  <si>
    <t>1633809.25,1277711.5,1373549,1016046.5</t>
  </si>
  <si>
    <t>All in</t>
  </si>
  <si>
    <t>Turbine + installation</t>
  </si>
  <si>
    <t>O&amp;M cost change by year</t>
  </si>
  <si>
    <t>Average Turbine Price 2022$/kW</t>
  </si>
  <si>
    <t>Year</t>
  </si>
  <si>
    <t>Average 2005-2022</t>
  </si>
  <si>
    <t>Yearly reduction</t>
  </si>
  <si>
    <t>5 year reduction</t>
  </si>
  <si>
    <t>Average 2009-2022</t>
  </si>
  <si>
    <t>Forecast</t>
  </si>
  <si>
    <t>Area</t>
  </si>
  <si>
    <t>Spatial 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</si>
</sst>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yyyy;@"/>
    <numFmt numFmtId="165" formatCode="0.0"/>
  </numFmts>
  <fonts count="7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wrapText="1"/>
    </xf>
    <xf numFmtId="0" fontId="6" fillId="0" borderId="0" xfId="0" applyFont="1"/>
    <xf numFmtId="165" fontId="0" fillId="0" borderId="0" xfId="0" applyNumberFormat="1"/>
    <xf numFmtId="0" fontId="4" fillId="0" borderId="0" xfId="0" applyFont="1" applyAlignment="1">
      <alignment horizontal="center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4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Enercon E44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Extras1!$B$5:$M$5</c:f>
              <c:numCache>
                <c:formatCode>General</c:formatCode>
                <c:ptCount val="12"/>
                <c:pt idx="0">
                  <c:v>58213.1</c:v>
                </c:pt>
                <c:pt idx="1">
                  <c:v>29851.5</c:v>
                </c:pt>
                <c:pt idx="2">
                  <c:v>47363.7</c:v>
                </c:pt>
                <c:pt idx="3">
                  <c:v>24586.2</c:v>
                </c:pt>
                <c:pt idx="4">
                  <c:v>30374.7</c:v>
                </c:pt>
                <c:pt idx="5">
                  <c:v>20772.2</c:v>
                </c:pt>
                <c:pt idx="6">
                  <c:v>32080.9</c:v>
                </c:pt>
                <c:pt idx="7">
                  <c:v>42815.1</c:v>
                </c:pt>
                <c:pt idx="8">
                  <c:v>30324.2</c:v>
                </c:pt>
                <c:pt idx="9">
                  <c:v>19903</c:v>
                </c:pt>
                <c:pt idx="10">
                  <c:v>17792.8</c:v>
                </c:pt>
                <c:pt idx="11">
                  <c:v>35793.300000000003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C6-F048-A4CA-390AA9916DE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Extras1!$B$6:$M$6</c:f>
              <c:numCache>
                <c:formatCode>General</c:formatCode>
                <c:ptCount val="12"/>
                <c:pt idx="0">
                  <c:v>29698.2</c:v>
                </c:pt>
                <c:pt idx="1">
                  <c:v>58776</c:v>
                </c:pt>
                <c:pt idx="2">
                  <c:v>47030.1</c:v>
                </c:pt>
                <c:pt idx="3">
                  <c:v>43972.4</c:v>
                </c:pt>
                <c:pt idx="4">
                  <c:v>26855.7</c:v>
                </c:pt>
                <c:pt idx="5">
                  <c:v>18566.3</c:v>
                </c:pt>
                <c:pt idx="6">
                  <c:v>34970.699999999997</c:v>
                </c:pt>
                <c:pt idx="7">
                  <c:v>36452.400000000001</c:v>
                </c:pt>
                <c:pt idx="8">
                  <c:v>29431.9</c:v>
                </c:pt>
                <c:pt idx="9">
                  <c:v>20012.099999999999</c:v>
                </c:pt>
                <c:pt idx="10">
                  <c:v>22257.8</c:v>
                </c:pt>
                <c:pt idx="11">
                  <c:v>21864.6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C6-F048-A4CA-390AA9916DE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Extras1!$B$7:$M$7</c:f>
              <c:numCache>
                <c:formatCode>General</c:formatCode>
                <c:ptCount val="12"/>
                <c:pt idx="0">
                  <c:v>61460.5</c:v>
                </c:pt>
                <c:pt idx="1">
                  <c:v>41734.400000000001</c:v>
                </c:pt>
                <c:pt idx="2">
                  <c:v>43608.7</c:v>
                </c:pt>
                <c:pt idx="3">
                  <c:v>62188.5</c:v>
                </c:pt>
                <c:pt idx="4">
                  <c:v>38534.199999999997</c:v>
                </c:pt>
                <c:pt idx="5">
                  <c:v>17459.2</c:v>
                </c:pt>
                <c:pt idx="6">
                  <c:v>40724.1</c:v>
                </c:pt>
                <c:pt idx="7">
                  <c:v>32709.1</c:v>
                </c:pt>
                <c:pt idx="8">
                  <c:v>30089.5</c:v>
                </c:pt>
                <c:pt idx="9">
                  <c:v>21961.200000000001</c:v>
                </c:pt>
                <c:pt idx="10">
                  <c:v>47962</c:v>
                </c:pt>
                <c:pt idx="11">
                  <c:v>38158.199999999997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C6-F048-A4CA-390AA9916DE2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Extras1!$B$8:$M$8</c:f>
              <c:numCache>
                <c:formatCode>General</c:formatCode>
                <c:ptCount val="12"/>
                <c:pt idx="0">
                  <c:v>40182.1</c:v>
                </c:pt>
                <c:pt idx="1">
                  <c:v>46864.7</c:v>
                </c:pt>
                <c:pt idx="2">
                  <c:v>38243.5</c:v>
                </c:pt>
                <c:pt idx="3">
                  <c:v>57658.5</c:v>
                </c:pt>
                <c:pt idx="4">
                  <c:v>27690</c:v>
                </c:pt>
                <c:pt idx="5">
                  <c:v>36210</c:v>
                </c:pt>
                <c:pt idx="6">
                  <c:v>40158.300000000003</c:v>
                </c:pt>
                <c:pt idx="7">
                  <c:v>29635.599999999999</c:v>
                </c:pt>
                <c:pt idx="8">
                  <c:v>28473.5</c:v>
                </c:pt>
                <c:pt idx="9">
                  <c:v>31829.5</c:v>
                </c:pt>
                <c:pt idx="10">
                  <c:v>32139.4</c:v>
                </c:pt>
                <c:pt idx="11">
                  <c:v>18174.599999999999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C6-F048-A4CA-390AA9916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099775"/>
        <c:axId val="3126383"/>
      </c:lineChart>
      <c:catAx>
        <c:axId val="68099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3126383"/>
        <c:crosses val="autoZero"/>
        <c:auto val="1"/>
        <c:lblAlgn val="ctr"/>
        <c:lblOffset val="100"/>
        <c:noMultiLvlLbl val="0"/>
      </c:catAx>
      <c:valAx>
        <c:axId val="312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6809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Enercon E70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Extras1!$B$25:$M$25</c:f>
              <c:numCache>
                <c:formatCode>General</c:formatCode>
                <c:ptCount val="12"/>
                <c:pt idx="0">
                  <c:v>201149</c:v>
                </c:pt>
                <c:pt idx="1">
                  <c:v>103775</c:v>
                </c:pt>
                <c:pt idx="2">
                  <c:v>167729</c:v>
                </c:pt>
                <c:pt idx="3">
                  <c:v>86776.8</c:v>
                </c:pt>
                <c:pt idx="4">
                  <c:v>107210</c:v>
                </c:pt>
                <c:pt idx="5">
                  <c:v>73271.7</c:v>
                </c:pt>
                <c:pt idx="6">
                  <c:v>114026</c:v>
                </c:pt>
                <c:pt idx="7">
                  <c:v>153022</c:v>
                </c:pt>
                <c:pt idx="8">
                  <c:v>107783</c:v>
                </c:pt>
                <c:pt idx="9">
                  <c:v>68991.3</c:v>
                </c:pt>
                <c:pt idx="10">
                  <c:v>61452.1</c:v>
                </c:pt>
                <c:pt idx="11">
                  <c:v>118982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A3-2748-A153-DFAA666BC2A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Extras1!$B$26:$M$26</c:f>
              <c:numCache>
                <c:formatCode>General</c:formatCode>
                <c:ptCount val="12"/>
                <c:pt idx="0">
                  <c:v>104743</c:v>
                </c:pt>
                <c:pt idx="1">
                  <c:v>198055</c:v>
                </c:pt>
                <c:pt idx="2">
                  <c:v>163805</c:v>
                </c:pt>
                <c:pt idx="3">
                  <c:v>152167</c:v>
                </c:pt>
                <c:pt idx="4">
                  <c:v>93942</c:v>
                </c:pt>
                <c:pt idx="5">
                  <c:v>64699.199999999997</c:v>
                </c:pt>
                <c:pt idx="6">
                  <c:v>124433</c:v>
                </c:pt>
                <c:pt idx="7">
                  <c:v>130143</c:v>
                </c:pt>
                <c:pt idx="8">
                  <c:v>104540</c:v>
                </c:pt>
                <c:pt idx="9">
                  <c:v>70244.399999999994</c:v>
                </c:pt>
                <c:pt idx="10">
                  <c:v>78793.3</c:v>
                </c:pt>
                <c:pt idx="11">
                  <c:v>77136.5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A3-2748-A153-DFAA666BC2A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Extras1!$B$27:$M$27</c:f>
              <c:numCache>
                <c:formatCode>General</c:formatCode>
                <c:ptCount val="12"/>
                <c:pt idx="0">
                  <c:v>209783</c:v>
                </c:pt>
                <c:pt idx="1">
                  <c:v>147783</c:v>
                </c:pt>
                <c:pt idx="2">
                  <c:v>151833</c:v>
                </c:pt>
                <c:pt idx="3">
                  <c:v>217978</c:v>
                </c:pt>
                <c:pt idx="4">
                  <c:v>137186</c:v>
                </c:pt>
                <c:pt idx="5">
                  <c:v>61098.2</c:v>
                </c:pt>
                <c:pt idx="6">
                  <c:v>145141</c:v>
                </c:pt>
                <c:pt idx="7">
                  <c:v>116259</c:v>
                </c:pt>
                <c:pt idx="8">
                  <c:v>106672</c:v>
                </c:pt>
                <c:pt idx="9">
                  <c:v>76975.399999999994</c:v>
                </c:pt>
                <c:pt idx="10">
                  <c:v>156134</c:v>
                </c:pt>
                <c:pt idx="11">
                  <c:v>130951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A3-2748-A153-DFAA666BC2A1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Extras1!$B$28:$M$28</c:f>
              <c:numCache>
                <c:formatCode>General</c:formatCode>
                <c:ptCount val="12"/>
                <c:pt idx="0">
                  <c:v>142126</c:v>
                </c:pt>
                <c:pt idx="1">
                  <c:v>164232</c:v>
                </c:pt>
                <c:pt idx="2">
                  <c:v>135312</c:v>
                </c:pt>
                <c:pt idx="3">
                  <c:v>197415</c:v>
                </c:pt>
                <c:pt idx="4">
                  <c:v>98053.9</c:v>
                </c:pt>
                <c:pt idx="5">
                  <c:v>128528</c:v>
                </c:pt>
                <c:pt idx="6">
                  <c:v>143074</c:v>
                </c:pt>
                <c:pt idx="7">
                  <c:v>105049</c:v>
                </c:pt>
                <c:pt idx="8">
                  <c:v>100907</c:v>
                </c:pt>
                <c:pt idx="9">
                  <c:v>111237</c:v>
                </c:pt>
                <c:pt idx="10">
                  <c:v>114073</c:v>
                </c:pt>
                <c:pt idx="11">
                  <c:v>64092.3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A3-2748-A153-DFAA666BC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89679"/>
        <c:axId val="67526847"/>
      </c:lineChart>
      <c:catAx>
        <c:axId val="39589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67526847"/>
        <c:crosses val="autoZero"/>
        <c:auto val="1"/>
        <c:lblAlgn val="ctr"/>
        <c:lblOffset val="100"/>
        <c:noMultiLvlLbl val="0"/>
      </c:catAx>
      <c:valAx>
        <c:axId val="6752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3958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Enercon E82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Extras1!$B$15:$M$15</c:f>
              <c:numCache>
                <c:formatCode>General</c:formatCode>
                <c:ptCount val="12"/>
                <c:pt idx="0">
                  <c:v>254469</c:v>
                </c:pt>
                <c:pt idx="1">
                  <c:v>134252</c:v>
                </c:pt>
                <c:pt idx="2">
                  <c:v>216628</c:v>
                </c:pt>
                <c:pt idx="3">
                  <c:v>116100</c:v>
                </c:pt>
                <c:pt idx="4">
                  <c:v>142540</c:v>
                </c:pt>
                <c:pt idx="5">
                  <c:v>98494.3</c:v>
                </c:pt>
                <c:pt idx="6">
                  <c:v>152383</c:v>
                </c:pt>
                <c:pt idx="7">
                  <c:v>203449</c:v>
                </c:pt>
                <c:pt idx="8">
                  <c:v>143642</c:v>
                </c:pt>
                <c:pt idx="9">
                  <c:v>90477.7</c:v>
                </c:pt>
                <c:pt idx="10">
                  <c:v>80942.5</c:v>
                </c:pt>
                <c:pt idx="11">
                  <c:v>144178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C5-9443-AF3B-84E1E393E82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Extras1!$B$16:$M$16</c:f>
              <c:numCache>
                <c:formatCode>General</c:formatCode>
                <c:ptCount val="12"/>
                <c:pt idx="0">
                  <c:v>138362</c:v>
                </c:pt>
                <c:pt idx="1">
                  <c:v>243636</c:v>
                </c:pt>
                <c:pt idx="2">
                  <c:v>210091</c:v>
                </c:pt>
                <c:pt idx="3">
                  <c:v>190517</c:v>
                </c:pt>
                <c:pt idx="4">
                  <c:v>123737</c:v>
                </c:pt>
                <c:pt idx="5">
                  <c:v>87677.8</c:v>
                </c:pt>
                <c:pt idx="6">
                  <c:v>165838</c:v>
                </c:pt>
                <c:pt idx="7">
                  <c:v>173055</c:v>
                </c:pt>
                <c:pt idx="8">
                  <c:v>139569</c:v>
                </c:pt>
                <c:pt idx="9">
                  <c:v>94821</c:v>
                </c:pt>
                <c:pt idx="10">
                  <c:v>105610</c:v>
                </c:pt>
                <c:pt idx="11">
                  <c:v>103665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C5-9443-AF3B-84E1E393E82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Extras1!$B$17:$M$17</c:f>
              <c:numCache>
                <c:formatCode>General</c:formatCode>
                <c:ptCount val="12"/>
                <c:pt idx="0">
                  <c:v>258873</c:v>
                </c:pt>
                <c:pt idx="1">
                  <c:v>192110</c:v>
                </c:pt>
                <c:pt idx="2">
                  <c:v>193542</c:v>
                </c:pt>
                <c:pt idx="3">
                  <c:v>277014</c:v>
                </c:pt>
                <c:pt idx="4">
                  <c:v>182213</c:v>
                </c:pt>
                <c:pt idx="5">
                  <c:v>82700.600000000006</c:v>
                </c:pt>
                <c:pt idx="6">
                  <c:v>193307</c:v>
                </c:pt>
                <c:pt idx="7">
                  <c:v>155321</c:v>
                </c:pt>
                <c:pt idx="8">
                  <c:v>142758</c:v>
                </c:pt>
                <c:pt idx="9">
                  <c:v>103918</c:v>
                </c:pt>
                <c:pt idx="10">
                  <c:v>185844</c:v>
                </c:pt>
                <c:pt idx="11">
                  <c:v>166807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C5-9443-AF3B-84E1E393E823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Extras1!$B$18:$M$18</c:f>
              <c:numCache>
                <c:formatCode>General</c:formatCode>
                <c:ptCount val="12"/>
                <c:pt idx="0">
                  <c:v>186365</c:v>
                </c:pt>
                <c:pt idx="1">
                  <c:v>209216</c:v>
                </c:pt>
                <c:pt idx="2">
                  <c:v>178413</c:v>
                </c:pt>
                <c:pt idx="3">
                  <c:v>246093</c:v>
                </c:pt>
                <c:pt idx="4">
                  <c:v>131009</c:v>
                </c:pt>
                <c:pt idx="5">
                  <c:v>169656</c:v>
                </c:pt>
                <c:pt idx="6">
                  <c:v>190368</c:v>
                </c:pt>
                <c:pt idx="7">
                  <c:v>140461</c:v>
                </c:pt>
                <c:pt idx="8">
                  <c:v>134582</c:v>
                </c:pt>
                <c:pt idx="9">
                  <c:v>144944</c:v>
                </c:pt>
                <c:pt idx="10">
                  <c:v>151946</c:v>
                </c:pt>
                <c:pt idx="11">
                  <c:v>86402.9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C5-9443-AF3B-84E1E393E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381135"/>
        <c:axId val="7889455"/>
      </c:lineChart>
      <c:catAx>
        <c:axId val="1603811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7889455"/>
        <c:crosses val="autoZero"/>
        <c:auto val="1"/>
        <c:lblAlgn val="ctr"/>
        <c:lblOffset val="100"/>
        <c:noMultiLvlLbl val="0"/>
      </c:catAx>
      <c:valAx>
        <c:axId val="788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6038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Vestas V90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Extras1!$B$35:$M$35</c:f>
              <c:numCache>
                <c:formatCode>General</c:formatCode>
                <c:ptCount val="12"/>
                <c:pt idx="0">
                  <c:v>260503</c:v>
                </c:pt>
                <c:pt idx="1">
                  <c:v>133799</c:v>
                </c:pt>
                <c:pt idx="2">
                  <c:v>214294</c:v>
                </c:pt>
                <c:pt idx="3">
                  <c:v>110581</c:v>
                </c:pt>
                <c:pt idx="4">
                  <c:v>138208</c:v>
                </c:pt>
                <c:pt idx="5">
                  <c:v>92585.4</c:v>
                </c:pt>
                <c:pt idx="6">
                  <c:v>146905</c:v>
                </c:pt>
                <c:pt idx="7">
                  <c:v>198173</c:v>
                </c:pt>
                <c:pt idx="8">
                  <c:v>139055</c:v>
                </c:pt>
                <c:pt idx="9">
                  <c:v>86707.199999999997</c:v>
                </c:pt>
                <c:pt idx="10">
                  <c:v>77532.399999999994</c:v>
                </c:pt>
                <c:pt idx="11">
                  <c:v>151611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ED-7C4E-B3B6-789C3031219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Extras1!$B$36:$M$36</c:f>
              <c:numCache>
                <c:formatCode>General</c:formatCode>
                <c:ptCount val="12"/>
                <c:pt idx="0">
                  <c:v>134177</c:v>
                </c:pt>
                <c:pt idx="1">
                  <c:v>254298</c:v>
                </c:pt>
                <c:pt idx="2">
                  <c:v>210611</c:v>
                </c:pt>
                <c:pt idx="3">
                  <c:v>193940</c:v>
                </c:pt>
                <c:pt idx="4">
                  <c:v>120125</c:v>
                </c:pt>
                <c:pt idx="5">
                  <c:v>82383</c:v>
                </c:pt>
                <c:pt idx="6">
                  <c:v>160630</c:v>
                </c:pt>
                <c:pt idx="7">
                  <c:v>167839</c:v>
                </c:pt>
                <c:pt idx="8">
                  <c:v>134646</c:v>
                </c:pt>
                <c:pt idx="9">
                  <c:v>89961.4</c:v>
                </c:pt>
                <c:pt idx="10">
                  <c:v>100065</c:v>
                </c:pt>
                <c:pt idx="11">
                  <c:v>99186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ED-7C4E-B3B6-789C3031219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Extras1!$B$37:$M$37</c:f>
              <c:numCache>
                <c:formatCode>General</c:formatCode>
                <c:ptCount val="12"/>
                <c:pt idx="0">
                  <c:v>269400</c:v>
                </c:pt>
                <c:pt idx="1">
                  <c:v>189662</c:v>
                </c:pt>
                <c:pt idx="2">
                  <c:v>194892</c:v>
                </c:pt>
                <c:pt idx="3">
                  <c:v>279007</c:v>
                </c:pt>
                <c:pt idx="4">
                  <c:v>176894</c:v>
                </c:pt>
                <c:pt idx="5">
                  <c:v>77634.7</c:v>
                </c:pt>
                <c:pt idx="6">
                  <c:v>188225</c:v>
                </c:pt>
                <c:pt idx="7">
                  <c:v>150102</c:v>
                </c:pt>
                <c:pt idx="8">
                  <c:v>138339</c:v>
                </c:pt>
                <c:pt idx="9">
                  <c:v>99522.2</c:v>
                </c:pt>
                <c:pt idx="10">
                  <c:v>199695</c:v>
                </c:pt>
                <c:pt idx="11">
                  <c:v>169814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ED-7C4E-B3B6-789C3031219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Extras1!$B$38:$M$38</c:f>
              <c:numCache>
                <c:formatCode>General</c:formatCode>
                <c:ptCount val="12"/>
                <c:pt idx="0">
                  <c:v>182741</c:v>
                </c:pt>
                <c:pt idx="1">
                  <c:v>210249</c:v>
                </c:pt>
                <c:pt idx="2">
                  <c:v>174389</c:v>
                </c:pt>
                <c:pt idx="3">
                  <c:v>253403</c:v>
                </c:pt>
                <c:pt idx="4">
                  <c:v>125244</c:v>
                </c:pt>
                <c:pt idx="5">
                  <c:v>165515</c:v>
                </c:pt>
                <c:pt idx="6">
                  <c:v>185164</c:v>
                </c:pt>
                <c:pt idx="7">
                  <c:v>135261</c:v>
                </c:pt>
                <c:pt idx="8">
                  <c:v>129289</c:v>
                </c:pt>
                <c:pt idx="9">
                  <c:v>142064</c:v>
                </c:pt>
                <c:pt idx="10">
                  <c:v>147227</c:v>
                </c:pt>
                <c:pt idx="11">
                  <c:v>80377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ED-7C4E-B3B6-789C30312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0040928"/>
        <c:axId val="159839311"/>
      </c:lineChart>
      <c:catAx>
        <c:axId val="1850040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59839311"/>
        <c:crosses val="autoZero"/>
        <c:auto val="1"/>
        <c:lblAlgn val="ctr"/>
        <c:lblOffset val="100"/>
        <c:noMultiLvlLbl val="0"/>
      </c:catAx>
      <c:valAx>
        <c:axId val="15983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85004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Vestas V82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Extras1!$B$45:$M$45</c:f>
              <c:numCache>
                <c:formatCode>General</c:formatCode>
                <c:ptCount val="12"/>
                <c:pt idx="0">
                  <c:v>271036</c:v>
                </c:pt>
                <c:pt idx="1">
                  <c:v>152784</c:v>
                </c:pt>
                <c:pt idx="2">
                  <c:v>224854</c:v>
                </c:pt>
                <c:pt idx="3">
                  <c:v>130232</c:v>
                </c:pt>
                <c:pt idx="4">
                  <c:v>161677</c:v>
                </c:pt>
                <c:pt idx="5">
                  <c:v>114249</c:v>
                </c:pt>
                <c:pt idx="6">
                  <c:v>180063</c:v>
                </c:pt>
                <c:pt idx="7">
                  <c:v>239270</c:v>
                </c:pt>
                <c:pt idx="8">
                  <c:v>168139</c:v>
                </c:pt>
                <c:pt idx="9">
                  <c:v>96411.8</c:v>
                </c:pt>
                <c:pt idx="10">
                  <c:v>86939.3</c:v>
                </c:pt>
                <c:pt idx="11">
                  <c:v>149090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B9-9744-970B-BE589AB3163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Extras1!$B$46:$M$46</c:f>
              <c:numCache>
                <c:formatCode>General</c:formatCode>
                <c:ptCount val="12"/>
                <c:pt idx="0">
                  <c:v>157318</c:v>
                </c:pt>
                <c:pt idx="1">
                  <c:v>250550</c:v>
                </c:pt>
                <c:pt idx="2">
                  <c:v>229720</c:v>
                </c:pt>
                <c:pt idx="3">
                  <c:v>194645</c:v>
                </c:pt>
                <c:pt idx="4">
                  <c:v>139715</c:v>
                </c:pt>
                <c:pt idx="5">
                  <c:v>103376</c:v>
                </c:pt>
                <c:pt idx="6">
                  <c:v>196883</c:v>
                </c:pt>
                <c:pt idx="7">
                  <c:v>192120</c:v>
                </c:pt>
                <c:pt idx="8">
                  <c:v>165238</c:v>
                </c:pt>
                <c:pt idx="9">
                  <c:v>108728</c:v>
                </c:pt>
                <c:pt idx="10">
                  <c:v>119719</c:v>
                </c:pt>
                <c:pt idx="11">
                  <c:v>119061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B9-9744-970B-BE589AB3163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Extras1!$B$47:$M$47</c:f>
              <c:numCache>
                <c:formatCode>General</c:formatCode>
                <c:ptCount val="12"/>
                <c:pt idx="0">
                  <c:v>264190</c:v>
                </c:pt>
                <c:pt idx="1">
                  <c:v>201472</c:v>
                </c:pt>
                <c:pt idx="2">
                  <c:v>201634</c:v>
                </c:pt>
                <c:pt idx="3">
                  <c:v>288682</c:v>
                </c:pt>
                <c:pt idx="4">
                  <c:v>206388</c:v>
                </c:pt>
                <c:pt idx="5">
                  <c:v>96533.8</c:v>
                </c:pt>
                <c:pt idx="6">
                  <c:v>226339</c:v>
                </c:pt>
                <c:pt idx="7">
                  <c:v>180126</c:v>
                </c:pt>
                <c:pt idx="8">
                  <c:v>170906</c:v>
                </c:pt>
                <c:pt idx="9">
                  <c:v>124242</c:v>
                </c:pt>
                <c:pt idx="10">
                  <c:v>184203</c:v>
                </c:pt>
                <c:pt idx="11">
                  <c:v>193407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B9-9744-970B-BE589AB31635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Extras1!$B$48:$M$48</c:f>
              <c:numCache>
                <c:formatCode>General</c:formatCode>
                <c:ptCount val="12"/>
                <c:pt idx="0">
                  <c:v>206355</c:v>
                </c:pt>
                <c:pt idx="1">
                  <c:v>213574</c:v>
                </c:pt>
                <c:pt idx="2">
                  <c:v>191377</c:v>
                </c:pt>
                <c:pt idx="3">
                  <c:v>251801</c:v>
                </c:pt>
                <c:pt idx="4">
                  <c:v>150129</c:v>
                </c:pt>
                <c:pt idx="5">
                  <c:v>192166</c:v>
                </c:pt>
                <c:pt idx="6">
                  <c:v>227799</c:v>
                </c:pt>
                <c:pt idx="7">
                  <c:v>163825</c:v>
                </c:pt>
                <c:pt idx="8">
                  <c:v>152360</c:v>
                </c:pt>
                <c:pt idx="9">
                  <c:v>166158</c:v>
                </c:pt>
                <c:pt idx="10">
                  <c:v>170283</c:v>
                </c:pt>
                <c:pt idx="11">
                  <c:v>95221.1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B9-9744-970B-BE589AB31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8529520"/>
        <c:axId val="55737711"/>
      </c:lineChart>
      <c:catAx>
        <c:axId val="2098529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55737711"/>
        <c:crosses val="autoZero"/>
        <c:auto val="1"/>
        <c:lblAlgn val="ctr"/>
        <c:lblOffset val="100"/>
        <c:noMultiLvlLbl val="0"/>
      </c:catAx>
      <c:valAx>
        <c:axId val="5573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209852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Vestas V52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Extras1!$B$55:$M$55</c:f>
              <c:numCache>
                <c:formatCode>General</c:formatCode>
                <c:ptCount val="12"/>
                <c:pt idx="0">
                  <c:v>49312.2</c:v>
                </c:pt>
                <c:pt idx="1">
                  <c:v>23404.1</c:v>
                </c:pt>
                <c:pt idx="2">
                  <c:v>39946</c:v>
                </c:pt>
                <c:pt idx="3">
                  <c:v>18311.400000000001</c:v>
                </c:pt>
                <c:pt idx="4">
                  <c:v>23761.1</c:v>
                </c:pt>
                <c:pt idx="5">
                  <c:v>15202.6</c:v>
                </c:pt>
                <c:pt idx="6">
                  <c:v>25321.4</c:v>
                </c:pt>
                <c:pt idx="7">
                  <c:v>35632.800000000003</c:v>
                </c:pt>
                <c:pt idx="8">
                  <c:v>24615.9</c:v>
                </c:pt>
                <c:pt idx="9">
                  <c:v>13669.3</c:v>
                </c:pt>
                <c:pt idx="10">
                  <c:v>12335.9</c:v>
                </c:pt>
                <c:pt idx="11">
                  <c:v>29319.4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D7-204F-AA4D-9CF4F565F3B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Extras1!$B$56:$M$56</c:f>
              <c:numCache>
                <c:formatCode>General</c:formatCode>
                <c:ptCount val="12"/>
                <c:pt idx="0">
                  <c:v>23352</c:v>
                </c:pt>
                <c:pt idx="1">
                  <c:v>50848.1</c:v>
                </c:pt>
                <c:pt idx="2">
                  <c:v>39396.1</c:v>
                </c:pt>
                <c:pt idx="3">
                  <c:v>35950.699999999997</c:v>
                </c:pt>
                <c:pt idx="4">
                  <c:v>20537.599999999999</c:v>
                </c:pt>
                <c:pt idx="5">
                  <c:v>12415.3</c:v>
                </c:pt>
                <c:pt idx="6">
                  <c:v>28353.9</c:v>
                </c:pt>
                <c:pt idx="7">
                  <c:v>30330</c:v>
                </c:pt>
                <c:pt idx="8">
                  <c:v>23424</c:v>
                </c:pt>
                <c:pt idx="9">
                  <c:v>14175.1</c:v>
                </c:pt>
                <c:pt idx="10">
                  <c:v>16883.2</c:v>
                </c:pt>
                <c:pt idx="11">
                  <c:v>16096.1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D7-204F-AA4D-9CF4F565F3B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Extras1!$B$57:$M$57</c:f>
              <c:numCache>
                <c:formatCode>General</c:formatCode>
                <c:ptCount val="12"/>
                <c:pt idx="0">
                  <c:v>52287.8</c:v>
                </c:pt>
                <c:pt idx="1">
                  <c:v>35336.199999999997</c:v>
                </c:pt>
                <c:pt idx="2">
                  <c:v>36016.699999999997</c:v>
                </c:pt>
                <c:pt idx="3">
                  <c:v>53529.3</c:v>
                </c:pt>
                <c:pt idx="4">
                  <c:v>31376.6</c:v>
                </c:pt>
                <c:pt idx="5">
                  <c:v>11852.9</c:v>
                </c:pt>
                <c:pt idx="6">
                  <c:v>33450.1</c:v>
                </c:pt>
                <c:pt idx="7">
                  <c:v>26099.8</c:v>
                </c:pt>
                <c:pt idx="8">
                  <c:v>23583.8</c:v>
                </c:pt>
                <c:pt idx="9">
                  <c:v>15797.7</c:v>
                </c:pt>
                <c:pt idx="10">
                  <c:v>40489.800000000003</c:v>
                </c:pt>
                <c:pt idx="11">
                  <c:v>30243.3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D7-204F-AA4D-9CF4F565F3B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Extras1!$B$58:$M$58</c:f>
              <c:numCache>
                <c:formatCode>General</c:formatCode>
                <c:ptCount val="12"/>
                <c:pt idx="0">
                  <c:v>32352.7</c:v>
                </c:pt>
                <c:pt idx="1">
                  <c:v>39594.5</c:v>
                </c:pt>
                <c:pt idx="2">
                  <c:v>30521.599999999999</c:v>
                </c:pt>
                <c:pt idx="3">
                  <c:v>49335.1</c:v>
                </c:pt>
                <c:pt idx="4">
                  <c:v>21280.799999999999</c:v>
                </c:pt>
                <c:pt idx="5">
                  <c:v>29572</c:v>
                </c:pt>
                <c:pt idx="6">
                  <c:v>33068.9</c:v>
                </c:pt>
                <c:pt idx="7">
                  <c:v>23204.2</c:v>
                </c:pt>
                <c:pt idx="8">
                  <c:v>22313.8</c:v>
                </c:pt>
                <c:pt idx="9">
                  <c:v>25706.2</c:v>
                </c:pt>
                <c:pt idx="10">
                  <c:v>25532.1</c:v>
                </c:pt>
                <c:pt idx="11">
                  <c:v>12704.9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D7-204F-AA4D-9CF4F565F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144927"/>
        <c:axId val="56323791"/>
      </c:lineChart>
      <c:catAx>
        <c:axId val="561449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56323791"/>
        <c:crosses val="autoZero"/>
        <c:auto val="1"/>
        <c:lblAlgn val="ctr"/>
        <c:lblOffset val="100"/>
        <c:noMultiLvlLbl val="0"/>
      </c:catAx>
      <c:valAx>
        <c:axId val="5632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5614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Extras1!$C$136:$C$150</c:f>
              <c:numCache>
                <c:formatCode>0.0</c:formatCode>
                <c:ptCount val="15"/>
                <c:pt idx="0">
                  <c:v>71.740857299243771</c:v>
                </c:pt>
                <c:pt idx="1">
                  <c:v>69.888415432558389</c:v>
                </c:pt>
                <c:pt idx="2">
                  <c:v>62.93535169148111</c:v>
                </c:pt>
                <c:pt idx="3">
                  <c:v>66.433836808366976</c:v>
                </c:pt>
                <c:pt idx="4">
                  <c:v>45.124106043118374</c:v>
                </c:pt>
                <c:pt idx="5">
                  <c:v>63.346117847874872</c:v>
                </c:pt>
                <c:pt idx="6">
                  <c:v>35.287203699362649</c:v>
                </c:pt>
                <c:pt idx="7">
                  <c:v>25.69618952009867</c:v>
                </c:pt>
                <c:pt idx="8">
                  <c:v>31.300854676277297</c:v>
                </c:pt>
                <c:pt idx="9">
                  <c:v>24.553162386815192</c:v>
                </c:pt>
                <c:pt idx="10">
                  <c:v>21.272921972468328</c:v>
                </c:pt>
                <c:pt idx="11">
                  <c:v>18.366067363877619</c:v>
                </c:pt>
                <c:pt idx="12">
                  <c:v>20.000293309725464</c:v>
                </c:pt>
                <c:pt idx="13">
                  <c:v>16.160397699393901</c:v>
                </c:pt>
                <c:pt idx="14">
                  <c:v>15.847940714652479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12-1A4E-B6EC-772725F93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549008"/>
        <c:axId val="1900076448"/>
      </c:scatterChart>
      <c:valAx>
        <c:axId val="1900549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900076448"/>
        <c:crosses val="autoZero"/>
        <c:crossBetween val="midCat"/>
      </c:valAx>
      <c:valAx>
        <c:axId val="190007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900549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Extras1!$C$136:$C$158</c:f>
              <c:numCache>
                <c:formatCode>0.0</c:formatCode>
                <c:ptCount val="23"/>
                <c:pt idx="0">
                  <c:v>71.740857299243771</c:v>
                </c:pt>
                <c:pt idx="1">
                  <c:v>69.888415432558389</c:v>
                </c:pt>
                <c:pt idx="2">
                  <c:v>62.93535169148111</c:v>
                </c:pt>
                <c:pt idx="3">
                  <c:v>66.433836808366976</c:v>
                </c:pt>
                <c:pt idx="4">
                  <c:v>45.124106043118374</c:v>
                </c:pt>
                <c:pt idx="5">
                  <c:v>63.346117847874872</c:v>
                </c:pt>
                <c:pt idx="6">
                  <c:v>35.287203699362649</c:v>
                </c:pt>
                <c:pt idx="7">
                  <c:v>25.69618952009867</c:v>
                </c:pt>
                <c:pt idx="8">
                  <c:v>31.300854676277297</c:v>
                </c:pt>
                <c:pt idx="9">
                  <c:v>24.553162386815192</c:v>
                </c:pt>
                <c:pt idx="10">
                  <c:v>21.272921972468328</c:v>
                </c:pt>
                <c:pt idx="11">
                  <c:v>18.366067363877619</c:v>
                </c:pt>
                <c:pt idx="12">
                  <c:v>20.000293309725464</c:v>
                </c:pt>
                <c:pt idx="13">
                  <c:v>16.160397699393901</c:v>
                </c:pt>
                <c:pt idx="14">
                  <c:v>15.847940714652479</c:v>
                </c:pt>
                <c:pt idx="15" formatCode="General">
                  <c:v>14.227560105927731</c:v>
                </c:pt>
                <c:pt idx="16" formatCode="General">
                  <c:v>12.772856121340251</c:v>
                </c:pt>
                <c:pt idx="17" formatCode="General">
                  <c:v>11.466889071759146</c:v>
                </c:pt>
                <c:pt idx="18" formatCode="General">
                  <c:v>10.294451275024008</c:v>
                </c:pt>
                <c:pt idx="19" formatCode="General">
                  <c:v>9.2418899660276885</c:v>
                </c:pt>
                <c:pt idx="20" formatCode="General">
                  <c:v>8.2969483134460784</c:v>
                </c:pt>
                <c:pt idx="21" formatCode="General">
                  <c:v>7.4486226917916856</c:v>
                </c:pt>
                <c:pt idx="22" formatCode="General">
                  <c:v>6.6870345467573449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03-2645-9FC3-A9E47154B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850975"/>
        <c:axId val="1019853247"/>
      </c:scatterChart>
      <c:valAx>
        <c:axId val="1019850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019853247"/>
        <c:crosses val="autoZero"/>
        <c:crossBetween val="midCat"/>
      </c:valAx>
      <c:valAx>
        <c:axId val="101985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019850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Extras2!$I$2:$I$27</c:f>
              <c:numCache>
                <c:formatCode>General</c:formatCode>
                <c:ptCount val="26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  <c:pt idx="21">
                  <c:v>2026</c:v>
                </c:pt>
                <c:pt idx="22">
                  <c:v>2027</c:v>
                </c:pt>
                <c:pt idx="23">
                  <c:v>2028</c:v>
                </c:pt>
                <c:pt idx="24">
                  <c:v>2029</c:v>
                </c:pt>
                <c:pt idx="25">
                  <c:v>2030</c:v>
                </c:pt>
              </c:numCache>
            </c:numRef>
          </c:xVal>
          <c:yVal>
            <c:numRef>
              <c:f>Extras2!$J$2:$J$27</c:f>
              <c:numCache>
                <c:formatCode>General</c:formatCode>
                <c:ptCount val="26"/>
                <c:pt idx="0">
                  <c:v>2084.37</c:v>
                </c:pt>
                <c:pt idx="1">
                  <c:v>2126.31</c:v>
                </c:pt>
                <c:pt idx="2">
                  <c:v>2137.58</c:v>
                </c:pt>
                <c:pt idx="3">
                  <c:v>2260.12</c:v>
                </c:pt>
                <c:pt idx="4">
                  <c:v>2299.9899999999998</c:v>
                </c:pt>
                <c:pt idx="5">
                  <c:v>2173.08</c:v>
                </c:pt>
                <c:pt idx="6">
                  <c:v>2148.79</c:v>
                </c:pt>
                <c:pt idx="7">
                  <c:v>2212.5500000000002</c:v>
                </c:pt>
                <c:pt idx="8">
                  <c:v>2042.08</c:v>
                </c:pt>
                <c:pt idx="9">
                  <c:v>1995.33</c:v>
                </c:pt>
                <c:pt idx="10">
                  <c:v>1839.57</c:v>
                </c:pt>
                <c:pt idx="11">
                  <c:v>1828.81</c:v>
                </c:pt>
                <c:pt idx="12">
                  <c:v>1825.41</c:v>
                </c:pt>
                <c:pt idx="13">
                  <c:v>1740.75</c:v>
                </c:pt>
                <c:pt idx="14">
                  <c:v>1653.1</c:v>
                </c:pt>
                <c:pt idx="15">
                  <c:v>1496.35</c:v>
                </c:pt>
                <c:pt idx="16">
                  <c:v>1418.18</c:v>
                </c:pt>
                <c:pt idx="17">
                  <c:v>1274.19</c:v>
                </c:pt>
                <c:pt idx="18">
                  <c:v>1223.0826720057416</c:v>
                </c:pt>
                <c:pt idx="19">
                  <c:v>1174.0252415736306</c:v>
                </c:pt>
                <c:pt idx="20">
                  <c:v>1126.9354880089018</c:v>
                </c:pt>
                <c:pt idx="21">
                  <c:v>1081.7344884609217</c:v>
                </c:pt>
                <c:pt idx="22">
                  <c:v>1038.3464856477826</c:v>
                </c:pt>
                <c:pt idx="23">
                  <c:v>996.69876088641524</c:v>
                </c:pt>
                <c:pt idx="24">
                  <c:v>956.72151221542197</c:v>
                </c:pt>
                <c:pt idx="25">
                  <c:v>918.34773740636172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D4-5D41-A1C3-BF0DCB88C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3308879"/>
        <c:axId val="1973310591"/>
      </c:scatterChart>
      <c:valAx>
        <c:axId val="1973308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973310591"/>
        <c:crosses val="autoZero"/>
        <c:crossBetween val="midCat"/>
      </c:valAx>
      <c:valAx>
        <c:axId val="197331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973308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2009-2030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Extras2!$I$6:$I$27</c:f>
              <c:numCache>
                <c:formatCode>General</c:formatCode>
                <c:ptCount val="22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</c:numCache>
            </c:numRef>
          </c:xVal>
          <c:yVal>
            <c:numRef>
              <c:f>Extras2!$J$6:$J$27</c:f>
              <c:numCache>
                <c:formatCode>General</c:formatCode>
                <c:ptCount val="22"/>
                <c:pt idx="0">
                  <c:v>2299.9899999999998</c:v>
                </c:pt>
                <c:pt idx="1">
                  <c:v>2173.08</c:v>
                </c:pt>
                <c:pt idx="2">
                  <c:v>2148.79</c:v>
                </c:pt>
                <c:pt idx="3">
                  <c:v>2212.5500000000002</c:v>
                </c:pt>
                <c:pt idx="4">
                  <c:v>2042.08</c:v>
                </c:pt>
                <c:pt idx="5">
                  <c:v>1995.33</c:v>
                </c:pt>
                <c:pt idx="6">
                  <c:v>1839.57</c:v>
                </c:pt>
                <c:pt idx="7">
                  <c:v>1828.81</c:v>
                </c:pt>
                <c:pt idx="8">
                  <c:v>1825.41</c:v>
                </c:pt>
                <c:pt idx="9">
                  <c:v>1740.75</c:v>
                </c:pt>
                <c:pt idx="10">
                  <c:v>1653.1</c:v>
                </c:pt>
                <c:pt idx="11">
                  <c:v>1496.35</c:v>
                </c:pt>
                <c:pt idx="12">
                  <c:v>1418.18</c:v>
                </c:pt>
                <c:pt idx="13">
                  <c:v>1274.19</c:v>
                </c:pt>
                <c:pt idx="14">
                  <c:v>1223.0826720057416</c:v>
                </c:pt>
                <c:pt idx="15">
                  <c:v>1174.0252415736306</c:v>
                </c:pt>
                <c:pt idx="16">
                  <c:v>1126.9354880089018</c:v>
                </c:pt>
                <c:pt idx="17">
                  <c:v>1081.7344884609217</c:v>
                </c:pt>
                <c:pt idx="18">
                  <c:v>1038.3464856477826</c:v>
                </c:pt>
                <c:pt idx="19">
                  <c:v>996.69876088641524</c:v>
                </c:pt>
                <c:pt idx="20">
                  <c:v>956.72151221542197</c:v>
                </c:pt>
                <c:pt idx="21">
                  <c:v>918.34773740636172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48-8444-85FD-B7C27D45E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1070223"/>
        <c:axId val="2011093551"/>
      </c:scatterChart>
      <c:valAx>
        <c:axId val="201107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2011093551"/>
        <c:crosses val="autoZero"/>
        <c:crossBetween val="midCat"/>
      </c:valAx>
      <c:valAx>
        <c:axId val="201109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2011070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565150</xdr:colOff>
      <xdr:row>1</xdr:row>
      <xdr:rowOff>158750</xdr:rowOff>
    </xdr:from>
    <xdr:to>
      <xdr:col>22</xdr:col>
      <xdr:colOff>774700</xdr:colOff>
      <xdr:row>18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FE179E-8942-41A3-A8A5-0998B63E42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564117</xdr:colOff>
      <xdr:row>36</xdr:row>
      <xdr:rowOff>75609</xdr:rowOff>
    </xdr:from>
    <xdr:to>
      <xdr:col>23</xdr:col>
      <xdr:colOff>29535</xdr:colOff>
      <xdr:row>51</xdr:row>
      <xdr:rowOff>44303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2573FA-E5D9-C251-5ECC-2FD3537570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578884</xdr:colOff>
      <xdr:row>19</xdr:row>
      <xdr:rowOff>119909</xdr:rowOff>
    </xdr:from>
    <xdr:to>
      <xdr:col>22</xdr:col>
      <xdr:colOff>782673</xdr:colOff>
      <xdr:row>35</xdr:row>
      <xdr:rowOff>177207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390355E-4C56-F5D7-4F28-32677FC9F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608419</xdr:colOff>
      <xdr:row>52</xdr:row>
      <xdr:rowOff>46074</xdr:rowOff>
    </xdr:from>
    <xdr:to>
      <xdr:col>23</xdr:col>
      <xdr:colOff>44303</xdr:colOff>
      <xdr:row>72</xdr:row>
      <xdr:rowOff>79375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EA69B81-AF0F-8EA1-51B8-92D120D71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608418</xdr:colOff>
      <xdr:row>73</xdr:row>
      <xdr:rowOff>76067</xdr:rowOff>
    </xdr:from>
    <xdr:to>
      <xdr:col>23</xdr:col>
      <xdr:colOff>59069</xdr:colOff>
      <xdr:row>92</xdr:row>
      <xdr:rowOff>133364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94FB557-D08D-24E3-B277-EC06857004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652720</xdr:colOff>
      <xdr:row>94</xdr:row>
      <xdr:rowOff>149907</xdr:rowOff>
    </xdr:from>
    <xdr:to>
      <xdr:col>23</xdr:col>
      <xdr:colOff>59069</xdr:colOff>
      <xdr:row>110</xdr:row>
      <xdr:rowOff>148135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24A255D-7724-B0E9-4261-352E5C735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362238</xdr:colOff>
      <xdr:row>132</xdr:row>
      <xdr:rowOff>129308</xdr:rowOff>
    </xdr:from>
    <xdr:to>
      <xdr:col>10</xdr:col>
      <xdr:colOff>43295</xdr:colOff>
      <xdr:row>149</xdr:row>
      <xdr:rowOff>43295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E0EB97-154A-5879-39FB-ABD735528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847132</xdr:colOff>
      <xdr:row>151</xdr:row>
      <xdr:rowOff>107741</xdr:rowOff>
    </xdr:from>
    <xdr:to>
      <xdr:col>9</xdr:col>
      <xdr:colOff>674077</xdr:colOff>
      <xdr:row>164</xdr:row>
      <xdr:rowOff>129513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E3313C-B660-4F9A-5076-DE917E265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603250</xdr:colOff>
      <xdr:row>3</xdr:row>
      <xdr:rowOff>63500</xdr:rowOff>
    </xdr:from>
    <xdr:to>
      <xdr:col>18</xdr:col>
      <xdr:colOff>444500</xdr:colOff>
      <xdr:row>22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D864B9-656C-43C5-8FCC-9FBD5A0730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603250</xdr:colOff>
      <xdr:row>23</xdr:row>
      <xdr:rowOff>63500</xdr:rowOff>
    </xdr:from>
    <xdr:to>
      <xdr:col>18</xdr:col>
      <xdr:colOff>520700</xdr:colOff>
      <xdr:row>38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85F097-B27A-D6AC-B70F-C63D6C5529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F4A57-A2BE-384A-8025-E4A1F08C861C}">
  <dimension ref="A1:I13"/>
  <sheetViews>
    <sheetView zoomScale="200" zoomScaleNormal="137" workbookViewId="0">
      <selection activeCell="A14" sqref="A14"/>
    </sheetView>
  </sheetViews>
  <sheetFormatPr baseColWidth="10" defaultRowHeight="16" x14ac:dyDescent="0.2"/>
  <cols>
    <col min="1" max="1" width="25.6640625" bestFit="1" customWidth="1"/>
    <col min="2" max="2" width="12" customWidth="1"/>
  </cols>
  <sheetData>
    <row r="1" spans="1:9" x14ac:dyDescent="0.2">
      <c r="A1" t="s">
        <v>0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88</v>
      </c>
      <c r="I1" t="s">
        <v>89</v>
      </c>
    </row>
    <row r="2" spans="1:9" x14ac:dyDescent="0.2">
      <c r="A2" t="s">
        <v>1</v>
      </c>
      <c r="B2">
        <v>726928.47499999998</v>
      </c>
      <c r="C2">
        <v>1637586.125</v>
      </c>
      <c r="D2">
        <v>1845279.9750000001</v>
      </c>
      <c r="E2">
        <v>2396467.5</v>
      </c>
      <c r="F2">
        <v>1318057.125</v>
      </c>
      <c r="G2">
        <v>678999.125</v>
      </c>
      <c r="H2">
        <v>2875761</v>
      </c>
      <c r="I2">
        <v>3594701.25</v>
      </c>
    </row>
    <row r="3" spans="1:9" x14ac:dyDescent="0.2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</row>
    <row r="4" spans="1:9" x14ac:dyDescent="0.2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">
      <c r="A5" t="s">
        <v>14</v>
      </c>
      <c r="B5">
        <v>25</v>
      </c>
      <c r="C5">
        <v>25</v>
      </c>
      <c r="D5">
        <v>25</v>
      </c>
      <c r="E5">
        <v>25</v>
      </c>
      <c r="F5">
        <v>25</v>
      </c>
      <c r="G5">
        <v>25</v>
      </c>
      <c r="H5">
        <v>25</v>
      </c>
      <c r="I5">
        <v>25</v>
      </c>
    </row>
    <row r="6" spans="1:9" x14ac:dyDescent="0.2">
      <c r="A6" t="s">
        <v>17</v>
      </c>
      <c r="B6">
        <v>1.6E-2</v>
      </c>
      <c r="C6">
        <v>1.6E-2</v>
      </c>
      <c r="D6">
        <v>1.6E-2</v>
      </c>
      <c r="E6">
        <v>1.6E-2</v>
      </c>
      <c r="F6">
        <v>1.6E-2</v>
      </c>
      <c r="G6">
        <v>1.6E-2</v>
      </c>
      <c r="H6">
        <v>1.6E-2</v>
      </c>
      <c r="I6">
        <v>1.6E-2</v>
      </c>
    </row>
    <row r="7" spans="1:9" x14ac:dyDescent="0.2">
      <c r="A7" t="s">
        <v>18</v>
      </c>
      <c r="B7">
        <v>12502.717878087578</v>
      </c>
      <c r="C7">
        <v>28165.463351735754</v>
      </c>
      <c r="D7">
        <v>31737.668459760775</v>
      </c>
      <c r="E7">
        <v>41217.751246442567</v>
      </c>
      <c r="F7">
        <v>22669.763185543412</v>
      </c>
      <c r="G7">
        <v>11678.362853158727</v>
      </c>
      <c r="H7">
        <v>49461.301495731081</v>
      </c>
      <c r="I7">
        <v>61826.626869663851</v>
      </c>
    </row>
    <row r="8" spans="1:9" x14ac:dyDescent="0.2">
      <c r="A8" t="s">
        <v>19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</row>
    <row r="9" spans="1:9" x14ac:dyDescent="0.2">
      <c r="A9" t="s">
        <v>20</v>
      </c>
      <c r="B9">
        <f>(1-0.67)/B5</f>
        <v>1.3199999999999998E-2</v>
      </c>
      <c r="C9">
        <f t="shared" ref="C9:H9" si="0">(1-0.67)/C5</f>
        <v>1.3199999999999998E-2</v>
      </c>
      <c r="D9">
        <f t="shared" si="0"/>
        <v>1.3199999999999998E-2</v>
      </c>
      <c r="E9">
        <f t="shared" si="0"/>
        <v>1.3199999999999998E-2</v>
      </c>
      <c r="F9">
        <f t="shared" si="0"/>
        <v>1.3199999999999998E-2</v>
      </c>
      <c r="G9">
        <f t="shared" si="0"/>
        <v>1.3199999999999998E-2</v>
      </c>
      <c r="H9">
        <f t="shared" si="0"/>
        <v>1.3199999999999998E-2</v>
      </c>
      <c r="I9">
        <f>(1-0.67)/I5</f>
        <v>1.3199999999999998E-2</v>
      </c>
    </row>
    <row r="10" spans="1:9" x14ac:dyDescent="0.2">
      <c r="A10" t="s">
        <v>21</v>
      </c>
      <c r="B10">
        <f>B2*0.67</f>
        <v>487042.07825000002</v>
      </c>
      <c r="C10">
        <f t="shared" ref="C10:H10" si="1">C2*0.67</f>
        <v>1097182.7037500001</v>
      </c>
      <c r="D10">
        <f t="shared" si="1"/>
        <v>1236337.5832500001</v>
      </c>
      <c r="E10">
        <f t="shared" si="1"/>
        <v>1605633.2250000001</v>
      </c>
      <c r="F10">
        <f t="shared" si="1"/>
        <v>883098.27375000005</v>
      </c>
      <c r="G10">
        <f t="shared" si="1"/>
        <v>454929.41375000001</v>
      </c>
      <c r="H10">
        <f t="shared" si="1"/>
        <v>1926759.87</v>
      </c>
      <c r="I10">
        <f>I2*0.67</f>
        <v>2408449.8375000004</v>
      </c>
    </row>
    <row r="11" spans="1:9" x14ac:dyDescent="0.2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">
      <c r="A12" t="s">
        <v>94</v>
      </c>
      <c r="B12">
        <v>0.89775450085911801</v>
      </c>
      <c r="C12">
        <v>0.89775450085911801</v>
      </c>
      <c r="D12">
        <v>0.89775450085911801</v>
      </c>
      <c r="E12">
        <v>0.89775450085911801</v>
      </c>
      <c r="F12">
        <v>0.89775450085911801</v>
      </c>
      <c r="G12">
        <v>0.89775450085911801</v>
      </c>
      <c r="H12">
        <v>0.89775450085911801</v>
      </c>
      <c r="I12">
        <v>0.89775450085911801</v>
      </c>
    </row>
    <row r="13" spans="1:9" x14ac:dyDescent="0.2">
      <c r="A13" t="s">
        <v>103</v>
      </c>
      <c r="B13">
        <v>1521</v>
      </c>
      <c r="C13">
        <v>5281</v>
      </c>
      <c r="D13">
        <v>3959</v>
      </c>
      <c r="E13">
        <v>6362</v>
      </c>
      <c r="F13">
        <v>5281</v>
      </c>
      <c r="G13">
        <v>2124</v>
      </c>
      <c r="H13">
        <v>11310</v>
      </c>
      <c r="I13">
        <v>12868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33B43-D754-5346-B372-5334A6F317AF}">
  <dimension ref="A1:I15"/>
  <sheetViews>
    <sheetView tabSelected="1" zoomScale="137" zoomScaleNormal="137" workbookViewId="0">
      <selection activeCell="B5" sqref="B5"/>
    </sheetView>
  </sheetViews>
  <sheetFormatPr baseColWidth="10" defaultRowHeight="16" x14ac:dyDescent="0.2"/>
  <cols>
    <col min="1" max="1" width="25.6640625" bestFit="1" customWidth="1"/>
    <col min="2" max="2" width="12" customWidth="1"/>
  </cols>
  <sheetData>
    <row r="1" spans="1:9" x14ac:dyDescent="0.2">
      <c r="A1" t="s">
        <v>0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88</v>
      </c>
      <c r="I1" t="s">
        <v>89</v>
      </c>
    </row>
    <row r="2" spans="1:9" x14ac:dyDescent="0.2">
      <c r="A2" t="s">
        <v>1</v>
      </c>
      <c r="B2">
        <v>726928.47499999998</v>
      </c>
      <c r="C2">
        <v>1637586.125</v>
      </c>
      <c r="D2">
        <v>1845279.9750000001</v>
      </c>
      <c r="E2">
        <v>2396467.5</v>
      </c>
      <c r="F2">
        <v>1318057.125</v>
      </c>
      <c r="G2">
        <v>678999.125</v>
      </c>
      <c r="H2">
        <v>2875761</v>
      </c>
      <c r="I2">
        <v>3594701.25</v>
      </c>
    </row>
    <row r="3" spans="1:9" x14ac:dyDescent="0.2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</row>
    <row r="4" spans="1:9" x14ac:dyDescent="0.2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ht="16" customHeight="1" x14ac:dyDescent="0.2">
      <c r="A5" t="s">
        <v>4</v>
      </c>
      <c r="B5" s="3" t="s">
        <v>66</v>
      </c>
      <c r="C5" s="3" t="s">
        <v>67</v>
      </c>
      <c r="D5" s="3" t="s">
        <v>68</v>
      </c>
      <c r="E5" s="3" t="s">
        <v>69</v>
      </c>
      <c r="F5" s="3" t="s">
        <v>70</v>
      </c>
      <c r="G5" s="3" t="s">
        <v>71</v>
      </c>
      <c r="H5" t="s">
        <v>90</v>
      </c>
      <c r="I5" t="s">
        <v>91</v>
      </c>
    </row>
    <row r="6" spans="1:9" x14ac:dyDescent="0.2">
      <c r="A6" t="s">
        <v>5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</row>
    <row r="7" spans="1:9" x14ac:dyDescent="0.2">
      <c r="A7" t="s">
        <v>14</v>
      </c>
      <c r="B7">
        <v>25</v>
      </c>
      <c r="C7">
        <v>25</v>
      </c>
      <c r="D7">
        <v>25</v>
      </c>
      <c r="E7">
        <v>25</v>
      </c>
      <c r="F7">
        <v>25</v>
      </c>
      <c r="G7">
        <v>25</v>
      </c>
      <c r="H7">
        <v>25</v>
      </c>
      <c r="I7">
        <v>25</v>
      </c>
    </row>
    <row r="8" spans="1:9" x14ac:dyDescent="0.2">
      <c r="A8" t="s">
        <v>16</v>
      </c>
      <c r="B8" t="s">
        <v>15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</row>
    <row r="9" spans="1:9" x14ac:dyDescent="0.2">
      <c r="A9" t="s">
        <v>17</v>
      </c>
      <c r="B9">
        <v>1.6E-2</v>
      </c>
      <c r="C9">
        <v>1.6E-2</v>
      </c>
      <c r="D9">
        <v>1.6E-2</v>
      </c>
      <c r="E9">
        <v>1.6E-2</v>
      </c>
      <c r="F9">
        <v>1.6E-2</v>
      </c>
      <c r="G9">
        <v>1.6E-2</v>
      </c>
      <c r="H9">
        <v>1.6E-2</v>
      </c>
      <c r="I9">
        <v>1.6E-2</v>
      </c>
    </row>
    <row r="10" spans="1:9" x14ac:dyDescent="0.2">
      <c r="A10" t="s">
        <v>18</v>
      </c>
      <c r="B10">
        <v>12502.717878087578</v>
      </c>
      <c r="C10">
        <v>28165.463351735754</v>
      </c>
      <c r="D10">
        <v>31737.668459760775</v>
      </c>
      <c r="E10">
        <v>41217.751246442567</v>
      </c>
      <c r="F10">
        <v>22669.763185543412</v>
      </c>
      <c r="G10">
        <v>11678.362853158727</v>
      </c>
      <c r="H10">
        <v>49461.301495731081</v>
      </c>
      <c r="I10">
        <v>61826.626869663851</v>
      </c>
    </row>
    <row r="11" spans="1:9" x14ac:dyDescent="0.2">
      <c r="A1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9" x14ac:dyDescent="0.2">
      <c r="A12" t="s">
        <v>20</v>
      </c>
      <c r="B12">
        <v>2.6800000000000001E-2</v>
      </c>
      <c r="C12">
        <v>2.6800000000000001E-2</v>
      </c>
      <c r="D12">
        <v>2.6800000000000001E-2</v>
      </c>
      <c r="E12">
        <v>2.6800000000000001E-2</v>
      </c>
      <c r="F12">
        <v>2.6800000000000001E-2</v>
      </c>
      <c r="G12">
        <v>2.6800000000000001E-2</v>
      </c>
      <c r="H12">
        <v>2.6800000000000001E-2</v>
      </c>
      <c r="I12">
        <v>2.6800000000000001E-2</v>
      </c>
    </row>
    <row r="13" spans="1:9" x14ac:dyDescent="0.2">
      <c r="A13" t="s">
        <v>21</v>
      </c>
      <c r="B13">
        <f>B2*0.67</f>
        <v>487042.07825000002</v>
      </c>
      <c r="C13">
        <f t="shared" ref="C13:H13" si="0">C2*0.67</f>
        <v>1097182.7037500001</v>
      </c>
      <c r="D13">
        <f t="shared" si="0"/>
        <v>1236337.5832500001</v>
      </c>
      <c r="E13">
        <f t="shared" si="0"/>
        <v>1605633.2250000001</v>
      </c>
      <c r="F13">
        <f t="shared" si="0"/>
        <v>883098.27375000005</v>
      </c>
      <c r="G13">
        <f t="shared" si="0"/>
        <v>454929.41375000001</v>
      </c>
      <c r="H13">
        <f t="shared" si="0"/>
        <v>1926759.87</v>
      </c>
      <c r="I13">
        <f>I2*0.67</f>
        <v>2408449.8375000004</v>
      </c>
    </row>
    <row r="14" spans="1:9" x14ac:dyDescent="0.2">
      <c r="A14" t="s">
        <v>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">
      <c r="A15" t="s">
        <v>94</v>
      </c>
      <c r="B15">
        <v>0.89775450085911801</v>
      </c>
      <c r="C15">
        <v>0.89775450085911801</v>
      </c>
      <c r="D15">
        <v>0.89775450085911801</v>
      </c>
      <c r="E15">
        <v>0.89775450085911801</v>
      </c>
      <c r="F15">
        <v>0.89775450085911801</v>
      </c>
      <c r="G15">
        <v>0.89775450085911801</v>
      </c>
      <c r="H15">
        <v>0.89775450085911801</v>
      </c>
      <c r="I15">
        <v>0.89775450085911801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4CF1-7336-B242-BB78-8AD8C045F5E6}">
  <dimension ref="A1:B7"/>
  <sheetViews>
    <sheetView zoomScale="200" workbookViewId="0">
      <selection activeCell="A7" sqref="A7"/>
    </sheetView>
  </sheetViews>
  <sheetFormatPr baseColWidth="10" defaultRowHeight="16" x14ac:dyDescent="0.2"/>
  <cols>
    <col min="1" max="1" width="26.1640625" bestFit="1" customWidth="1"/>
    <col min="3" max="3" width="11.33203125" bestFit="1" customWidth="1"/>
    <col min="4" max="4" width="13.1640625" bestFit="1" customWidth="1"/>
    <col min="5" max="5" width="17.6640625" bestFit="1" customWidth="1"/>
    <col min="6" max="7" width="17.6640625" customWidth="1"/>
    <col min="8" max="8" width="17.1640625" bestFit="1" customWidth="1"/>
    <col min="9" max="9" width="25.1640625" bestFit="1" customWidth="1"/>
    <col min="10" max="10" width="26.1640625" bestFit="1" customWidth="1"/>
    <col min="11" max="11" width="17.83203125" bestFit="1" customWidth="1"/>
    <col min="12" max="12" width="16.6640625" bestFit="1" customWidth="1"/>
  </cols>
  <sheetData>
    <row r="1" spans="1:2" x14ac:dyDescent="0.2">
      <c r="A1" t="s">
        <v>0</v>
      </c>
      <c r="B1" t="s">
        <v>12</v>
      </c>
    </row>
    <row r="2" spans="1:2" x14ac:dyDescent="0.2">
      <c r="A2" t="s">
        <v>6</v>
      </c>
      <c r="B2">
        <v>1</v>
      </c>
    </row>
    <row r="3" spans="1:2" x14ac:dyDescent="0.2">
      <c r="A3" t="s">
        <v>10</v>
      </c>
      <c r="B3">
        <f>-LN(B5)/5</f>
        <v>4.0936230472270511E-2</v>
      </c>
    </row>
    <row r="4" spans="1:2" x14ac:dyDescent="0.2">
      <c r="A4" t="s">
        <v>11</v>
      </c>
      <c r="B4">
        <v>0</v>
      </c>
    </row>
    <row r="5" spans="1:2" x14ac:dyDescent="0.2">
      <c r="A5" t="s">
        <v>7</v>
      </c>
      <c r="B5">
        <v>0.81490710619906204</v>
      </c>
    </row>
    <row r="6" spans="1:2" x14ac:dyDescent="0.2">
      <c r="A6" t="s">
        <v>8</v>
      </c>
      <c r="B6">
        <f>EXP(B4)</f>
        <v>1</v>
      </c>
    </row>
    <row r="7" spans="1:2" x14ac:dyDescent="0.2">
      <c r="A7" t="s">
        <v>9</v>
      </c>
      <c r="B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B8A3E-987F-534C-BE5F-E1607AAFBDBF}">
  <dimension ref="A1:Y158"/>
  <sheetViews>
    <sheetView topLeftCell="A58" zoomScaleNormal="125" workbookViewId="0">
      <selection activeCell="B82" sqref="B82"/>
    </sheetView>
  </sheetViews>
  <sheetFormatPr baseColWidth="10" defaultRowHeight="16" x14ac:dyDescent="0.2"/>
  <cols>
    <col min="1" max="1" width="23.83203125" customWidth="1"/>
    <col min="2" max="2" width="19.5" customWidth="1"/>
    <col min="3" max="3" width="18.5" customWidth="1"/>
    <col min="4" max="4" width="22" customWidth="1"/>
    <col min="5" max="5" width="23" customWidth="1"/>
    <col min="6" max="6" width="25.33203125" customWidth="1"/>
    <col min="7" max="7" width="30.1640625" customWidth="1"/>
    <col min="8" max="8" width="21.1640625" customWidth="1"/>
  </cols>
  <sheetData>
    <row r="1" spans="1:25" x14ac:dyDescent="0.2">
      <c r="A1" t="s">
        <v>24</v>
      </c>
      <c r="B1" t="s">
        <v>27</v>
      </c>
      <c r="C1" t="s">
        <v>26</v>
      </c>
      <c r="D1" t="s">
        <v>28</v>
      </c>
      <c r="E1" t="s">
        <v>29</v>
      </c>
      <c r="F1" t="s">
        <v>30</v>
      </c>
      <c r="G1" t="s">
        <v>31</v>
      </c>
      <c r="H1" t="s">
        <v>33</v>
      </c>
    </row>
    <row r="2" spans="1:25" x14ac:dyDescent="0.2">
      <c r="A2" t="s">
        <v>23</v>
      </c>
      <c r="B2">
        <v>44</v>
      </c>
      <c r="C2">
        <v>910</v>
      </c>
      <c r="D2">
        <v>3</v>
      </c>
      <c r="E2">
        <v>16.5</v>
      </c>
      <c r="F2">
        <v>34</v>
      </c>
      <c r="G2" s="1" t="s">
        <v>32</v>
      </c>
      <c r="H2">
        <v>50</v>
      </c>
    </row>
    <row r="3" spans="1:25" x14ac:dyDescent="0.2">
      <c r="G3" s="1"/>
    </row>
    <row r="4" spans="1:25" x14ac:dyDescent="0.2">
      <c r="A4" t="s">
        <v>34</v>
      </c>
      <c r="B4" t="s">
        <v>35</v>
      </c>
      <c r="C4" t="s">
        <v>36</v>
      </c>
      <c r="D4" t="s">
        <v>38</v>
      </c>
      <c r="E4" t="s">
        <v>37</v>
      </c>
      <c r="Y4" t="s">
        <v>76</v>
      </c>
    </row>
    <row r="5" spans="1:25" x14ac:dyDescent="0.2">
      <c r="A5">
        <v>2019</v>
      </c>
      <c r="B5">
        <v>58213.1</v>
      </c>
      <c r="C5">
        <v>29851.5</v>
      </c>
      <c r="D5">
        <v>47363.7</v>
      </c>
      <c r="E5">
        <v>24586.2</v>
      </c>
      <c r="F5">
        <v>30374.7</v>
      </c>
      <c r="G5">
        <v>20772.2</v>
      </c>
      <c r="H5">
        <v>32080.9</v>
      </c>
      <c r="I5">
        <v>42815.1</v>
      </c>
      <c r="J5">
        <v>30324.2</v>
      </c>
      <c r="K5">
        <v>19903</v>
      </c>
      <c r="L5">
        <v>17792.8</v>
      </c>
      <c r="M5">
        <v>35793.300000000003</v>
      </c>
      <c r="Y5">
        <v>0.2</v>
      </c>
    </row>
    <row r="6" spans="1:25" x14ac:dyDescent="0.2">
      <c r="A6">
        <v>2020</v>
      </c>
      <c r="B6">
        <v>29698.2</v>
      </c>
      <c r="C6">
        <v>58776</v>
      </c>
      <c r="D6">
        <v>47030.1</v>
      </c>
      <c r="E6">
        <v>43972.4</v>
      </c>
      <c r="F6">
        <v>26855.7</v>
      </c>
      <c r="G6">
        <v>18566.3</v>
      </c>
      <c r="H6">
        <v>34970.699999999997</v>
      </c>
      <c r="I6">
        <v>36452.400000000001</v>
      </c>
      <c r="J6">
        <v>29431.9</v>
      </c>
      <c r="K6">
        <v>20012.099999999999</v>
      </c>
      <c r="L6">
        <v>22257.8</v>
      </c>
      <c r="M6">
        <v>21864.6</v>
      </c>
    </row>
    <row r="7" spans="1:25" x14ac:dyDescent="0.2">
      <c r="A7">
        <v>2021</v>
      </c>
      <c r="B7">
        <v>61460.5</v>
      </c>
      <c r="C7">
        <v>41734.400000000001</v>
      </c>
      <c r="D7">
        <v>43608.7</v>
      </c>
      <c r="E7">
        <v>62188.5</v>
      </c>
      <c r="F7">
        <v>38534.199999999997</v>
      </c>
      <c r="G7">
        <v>17459.2</v>
      </c>
      <c r="H7">
        <v>40724.1</v>
      </c>
      <c r="I7">
        <v>32709.1</v>
      </c>
      <c r="J7">
        <v>30089.5</v>
      </c>
      <c r="K7">
        <v>21961.200000000001</v>
      </c>
      <c r="L7">
        <v>47962</v>
      </c>
      <c r="M7">
        <v>38158.199999999997</v>
      </c>
    </row>
    <row r="8" spans="1:25" x14ac:dyDescent="0.2">
      <c r="A8">
        <v>2022</v>
      </c>
      <c r="B8">
        <v>40182.1</v>
      </c>
      <c r="C8">
        <v>46864.7</v>
      </c>
      <c r="D8">
        <v>38243.5</v>
      </c>
      <c r="E8">
        <v>57658.5</v>
      </c>
      <c r="F8">
        <v>27690</v>
      </c>
      <c r="G8">
        <v>36210</v>
      </c>
      <c r="H8">
        <v>40158.300000000003</v>
      </c>
      <c r="I8">
        <v>29635.599999999999</v>
      </c>
      <c r="J8">
        <v>28473.5</v>
      </c>
      <c r="K8">
        <v>31829.5</v>
      </c>
      <c r="L8">
        <v>32139.4</v>
      </c>
      <c r="M8">
        <v>18174.599999999999</v>
      </c>
    </row>
    <row r="11" spans="1:25" x14ac:dyDescent="0.2">
      <c r="A11" t="s">
        <v>24</v>
      </c>
      <c r="B11" t="s">
        <v>27</v>
      </c>
      <c r="C11" t="s">
        <v>26</v>
      </c>
      <c r="D11" t="s">
        <v>28</v>
      </c>
      <c r="E11" t="s">
        <v>29</v>
      </c>
      <c r="F11" t="s">
        <v>30</v>
      </c>
      <c r="G11" t="s">
        <v>31</v>
      </c>
      <c r="H11" t="s">
        <v>33</v>
      </c>
    </row>
    <row r="12" spans="1:25" x14ac:dyDescent="0.2">
      <c r="A12" t="s">
        <v>39</v>
      </c>
      <c r="B12">
        <v>82</v>
      </c>
      <c r="C12">
        <v>2050</v>
      </c>
      <c r="D12">
        <v>2</v>
      </c>
      <c r="E12">
        <v>12.5</v>
      </c>
      <c r="F12">
        <v>34</v>
      </c>
      <c r="G12" s="1" t="s">
        <v>40</v>
      </c>
      <c r="H12">
        <v>85</v>
      </c>
    </row>
    <row r="14" spans="1:25" x14ac:dyDescent="0.2">
      <c r="A14" t="s">
        <v>34</v>
      </c>
      <c r="B14" t="s">
        <v>35</v>
      </c>
      <c r="C14" t="s">
        <v>36</v>
      </c>
      <c r="D14" t="s">
        <v>38</v>
      </c>
      <c r="E14" t="s">
        <v>37</v>
      </c>
    </row>
    <row r="15" spans="1:25" x14ac:dyDescent="0.2">
      <c r="A15">
        <v>2019</v>
      </c>
      <c r="B15">
        <v>254469</v>
      </c>
      <c r="C15">
        <v>134252</v>
      </c>
      <c r="D15">
        <v>216628</v>
      </c>
      <c r="E15">
        <v>116100</v>
      </c>
      <c r="F15">
        <v>142540</v>
      </c>
      <c r="G15">
        <v>98494.3</v>
      </c>
      <c r="H15">
        <v>152383</v>
      </c>
      <c r="I15">
        <v>203449</v>
      </c>
      <c r="J15">
        <v>143642</v>
      </c>
      <c r="K15">
        <v>90477.7</v>
      </c>
      <c r="L15">
        <v>80942.5</v>
      </c>
      <c r="M15">
        <v>144178</v>
      </c>
    </row>
    <row r="16" spans="1:25" x14ac:dyDescent="0.2">
      <c r="A16">
        <v>2020</v>
      </c>
      <c r="B16">
        <v>138362</v>
      </c>
      <c r="C16">
        <v>243636</v>
      </c>
      <c r="D16">
        <v>210091</v>
      </c>
      <c r="E16">
        <v>190517</v>
      </c>
      <c r="F16">
        <v>123737</v>
      </c>
      <c r="G16">
        <v>87677.8</v>
      </c>
      <c r="H16">
        <v>165838</v>
      </c>
      <c r="I16">
        <v>173055</v>
      </c>
      <c r="J16">
        <v>139569</v>
      </c>
      <c r="K16">
        <v>94821</v>
      </c>
      <c r="L16">
        <v>105610</v>
      </c>
      <c r="M16">
        <v>103665</v>
      </c>
    </row>
    <row r="17" spans="1:13" x14ac:dyDescent="0.2">
      <c r="A17">
        <v>2021</v>
      </c>
      <c r="B17">
        <v>258873</v>
      </c>
      <c r="C17">
        <v>192110</v>
      </c>
      <c r="D17">
        <v>193542</v>
      </c>
      <c r="E17">
        <v>277014</v>
      </c>
      <c r="F17">
        <v>182213</v>
      </c>
      <c r="G17">
        <v>82700.600000000006</v>
      </c>
      <c r="H17">
        <v>193307</v>
      </c>
      <c r="I17">
        <v>155321</v>
      </c>
      <c r="J17">
        <v>142758</v>
      </c>
      <c r="K17">
        <v>103918</v>
      </c>
      <c r="L17">
        <v>185844</v>
      </c>
      <c r="M17">
        <v>166807</v>
      </c>
    </row>
    <row r="18" spans="1:13" x14ac:dyDescent="0.2">
      <c r="A18">
        <v>2022</v>
      </c>
      <c r="B18">
        <v>186365</v>
      </c>
      <c r="C18">
        <v>209216</v>
      </c>
      <c r="D18">
        <v>178413</v>
      </c>
      <c r="E18">
        <v>246093</v>
      </c>
      <c r="F18">
        <v>131009</v>
      </c>
      <c r="G18">
        <v>169656</v>
      </c>
      <c r="H18">
        <v>190368</v>
      </c>
      <c r="I18">
        <v>140461</v>
      </c>
      <c r="J18">
        <v>134582</v>
      </c>
      <c r="K18">
        <v>144944</v>
      </c>
      <c r="L18">
        <v>151946</v>
      </c>
      <c r="M18">
        <v>86402.9</v>
      </c>
    </row>
    <row r="21" spans="1:13" x14ac:dyDescent="0.2">
      <c r="A21" t="s">
        <v>24</v>
      </c>
      <c r="B21" t="s">
        <v>27</v>
      </c>
      <c r="C21" t="s">
        <v>26</v>
      </c>
      <c r="D21" t="s">
        <v>28</v>
      </c>
      <c r="E21" t="s">
        <v>29</v>
      </c>
      <c r="F21" t="s">
        <v>30</v>
      </c>
      <c r="G21" t="s">
        <v>31</v>
      </c>
      <c r="H21" t="s">
        <v>33</v>
      </c>
    </row>
    <row r="22" spans="1:13" x14ac:dyDescent="0.2">
      <c r="A22" t="s">
        <v>41</v>
      </c>
      <c r="B22">
        <v>71</v>
      </c>
      <c r="C22">
        <v>2310</v>
      </c>
      <c r="D22">
        <v>2</v>
      </c>
      <c r="E22">
        <v>15.5</v>
      </c>
      <c r="F22">
        <v>34</v>
      </c>
      <c r="G22" t="s">
        <v>42</v>
      </c>
      <c r="H22">
        <v>85</v>
      </c>
    </row>
    <row r="24" spans="1:13" x14ac:dyDescent="0.2">
      <c r="A24" t="s">
        <v>34</v>
      </c>
      <c r="B24" t="s">
        <v>35</v>
      </c>
      <c r="C24" t="s">
        <v>36</v>
      </c>
      <c r="D24" t="s">
        <v>38</v>
      </c>
      <c r="E24" t="s">
        <v>37</v>
      </c>
    </row>
    <row r="25" spans="1:13" x14ac:dyDescent="0.2">
      <c r="A25">
        <v>2019</v>
      </c>
      <c r="B25">
        <v>201149</v>
      </c>
      <c r="C25">
        <v>103775</v>
      </c>
      <c r="D25">
        <v>167729</v>
      </c>
      <c r="E25">
        <v>86776.8</v>
      </c>
      <c r="F25">
        <v>107210</v>
      </c>
      <c r="G25">
        <v>73271.7</v>
      </c>
      <c r="H25">
        <v>114026</v>
      </c>
      <c r="I25">
        <v>153022</v>
      </c>
      <c r="J25">
        <v>107783</v>
      </c>
      <c r="K25">
        <v>68991.3</v>
      </c>
      <c r="L25">
        <v>61452.1</v>
      </c>
      <c r="M25">
        <v>118982</v>
      </c>
    </row>
    <row r="26" spans="1:13" x14ac:dyDescent="0.2">
      <c r="A26">
        <v>2020</v>
      </c>
      <c r="B26">
        <v>104743</v>
      </c>
      <c r="C26">
        <v>198055</v>
      </c>
      <c r="D26">
        <v>163805</v>
      </c>
      <c r="E26">
        <v>152167</v>
      </c>
      <c r="F26">
        <v>93942</v>
      </c>
      <c r="G26">
        <v>64699.199999999997</v>
      </c>
      <c r="H26">
        <v>124433</v>
      </c>
      <c r="I26">
        <v>130143</v>
      </c>
      <c r="J26">
        <v>104540</v>
      </c>
      <c r="K26">
        <v>70244.399999999994</v>
      </c>
      <c r="L26">
        <v>78793.3</v>
      </c>
      <c r="M26">
        <v>77136.5</v>
      </c>
    </row>
    <row r="27" spans="1:13" x14ac:dyDescent="0.2">
      <c r="A27">
        <v>2021</v>
      </c>
      <c r="B27">
        <v>209783</v>
      </c>
      <c r="C27">
        <v>147783</v>
      </c>
      <c r="D27">
        <v>151833</v>
      </c>
      <c r="E27">
        <v>217978</v>
      </c>
      <c r="F27">
        <v>137186</v>
      </c>
      <c r="G27">
        <v>61098.2</v>
      </c>
      <c r="H27">
        <v>145141</v>
      </c>
      <c r="I27">
        <v>116259</v>
      </c>
      <c r="J27">
        <v>106672</v>
      </c>
      <c r="K27">
        <v>76975.399999999994</v>
      </c>
      <c r="L27">
        <v>156134</v>
      </c>
      <c r="M27">
        <v>130951</v>
      </c>
    </row>
    <row r="28" spans="1:13" x14ac:dyDescent="0.2">
      <c r="A28">
        <v>2022</v>
      </c>
      <c r="B28">
        <v>142126</v>
      </c>
      <c r="C28">
        <v>164232</v>
      </c>
      <c r="D28">
        <v>135312</v>
      </c>
      <c r="E28">
        <v>197415</v>
      </c>
      <c r="F28">
        <v>98053.9</v>
      </c>
      <c r="G28">
        <v>128528</v>
      </c>
      <c r="H28">
        <v>143074</v>
      </c>
      <c r="I28">
        <v>105049</v>
      </c>
      <c r="J28">
        <v>100907</v>
      </c>
      <c r="K28">
        <v>111237</v>
      </c>
      <c r="L28">
        <v>114073</v>
      </c>
      <c r="M28">
        <v>64092.3</v>
      </c>
    </row>
    <row r="31" spans="1:13" x14ac:dyDescent="0.2">
      <c r="A31" t="s">
        <v>24</v>
      </c>
      <c r="B31" t="s">
        <v>27</v>
      </c>
      <c r="C31" t="s">
        <v>26</v>
      </c>
      <c r="D31" t="s">
        <v>28</v>
      </c>
      <c r="E31" t="s">
        <v>29</v>
      </c>
      <c r="F31" t="s">
        <v>30</v>
      </c>
      <c r="G31" t="s">
        <v>31</v>
      </c>
      <c r="H31" t="s">
        <v>33</v>
      </c>
    </row>
    <row r="32" spans="1:13" x14ac:dyDescent="0.2">
      <c r="A32" t="s">
        <v>43</v>
      </c>
      <c r="B32">
        <v>90</v>
      </c>
      <c r="C32">
        <v>3000</v>
      </c>
      <c r="D32">
        <v>3.5</v>
      </c>
      <c r="E32">
        <v>16.5</v>
      </c>
      <c r="F32">
        <v>25</v>
      </c>
      <c r="G32" s="1" t="s">
        <v>44</v>
      </c>
      <c r="H32">
        <v>85</v>
      </c>
    </row>
    <row r="34" spans="1:13" x14ac:dyDescent="0.2">
      <c r="A34" t="s">
        <v>34</v>
      </c>
      <c r="B34" t="s">
        <v>35</v>
      </c>
      <c r="C34" t="s">
        <v>36</v>
      </c>
      <c r="D34" t="s">
        <v>38</v>
      </c>
      <c r="E34" t="s">
        <v>37</v>
      </c>
    </row>
    <row r="35" spans="1:13" x14ac:dyDescent="0.2">
      <c r="A35">
        <v>2019</v>
      </c>
      <c r="B35">
        <v>260503</v>
      </c>
      <c r="C35">
        <v>133799</v>
      </c>
      <c r="D35">
        <v>214294</v>
      </c>
      <c r="E35">
        <v>110581</v>
      </c>
      <c r="F35">
        <v>138208</v>
      </c>
      <c r="G35">
        <v>92585.4</v>
      </c>
      <c r="H35">
        <v>146905</v>
      </c>
      <c r="I35">
        <v>198173</v>
      </c>
      <c r="J35">
        <v>139055</v>
      </c>
      <c r="K35">
        <v>86707.199999999997</v>
      </c>
      <c r="L35">
        <v>77532.399999999994</v>
      </c>
      <c r="M35">
        <v>151611</v>
      </c>
    </row>
    <row r="36" spans="1:13" x14ac:dyDescent="0.2">
      <c r="A36">
        <v>2020</v>
      </c>
      <c r="B36">
        <v>134177</v>
      </c>
      <c r="C36">
        <v>254298</v>
      </c>
      <c r="D36">
        <v>210611</v>
      </c>
      <c r="E36">
        <v>193940</v>
      </c>
      <c r="F36">
        <v>120125</v>
      </c>
      <c r="G36">
        <v>82383</v>
      </c>
      <c r="H36">
        <v>160630</v>
      </c>
      <c r="I36">
        <v>167839</v>
      </c>
      <c r="J36">
        <v>134646</v>
      </c>
      <c r="K36">
        <v>89961.4</v>
      </c>
      <c r="L36">
        <v>100065</v>
      </c>
      <c r="M36">
        <v>99186</v>
      </c>
    </row>
    <row r="37" spans="1:13" x14ac:dyDescent="0.2">
      <c r="A37">
        <v>2021</v>
      </c>
      <c r="B37">
        <v>269400</v>
      </c>
      <c r="C37">
        <v>189662</v>
      </c>
      <c r="D37">
        <v>194892</v>
      </c>
      <c r="E37">
        <v>279007</v>
      </c>
      <c r="F37">
        <v>176894</v>
      </c>
      <c r="G37">
        <v>77634.7</v>
      </c>
      <c r="H37">
        <v>188225</v>
      </c>
      <c r="I37">
        <v>150102</v>
      </c>
      <c r="J37">
        <v>138339</v>
      </c>
      <c r="K37">
        <v>99522.2</v>
      </c>
      <c r="L37">
        <v>199695</v>
      </c>
      <c r="M37">
        <v>169814</v>
      </c>
    </row>
    <row r="38" spans="1:13" x14ac:dyDescent="0.2">
      <c r="A38">
        <v>2022</v>
      </c>
      <c r="B38">
        <v>182741</v>
      </c>
      <c r="C38">
        <v>210249</v>
      </c>
      <c r="D38">
        <v>174389</v>
      </c>
      <c r="E38">
        <v>253403</v>
      </c>
      <c r="F38">
        <v>125244</v>
      </c>
      <c r="G38">
        <v>165515</v>
      </c>
      <c r="H38">
        <v>185164</v>
      </c>
      <c r="I38">
        <v>135261</v>
      </c>
      <c r="J38">
        <v>129289</v>
      </c>
      <c r="K38">
        <v>142064</v>
      </c>
      <c r="L38">
        <v>147227</v>
      </c>
      <c r="M38">
        <v>80377</v>
      </c>
    </row>
    <row r="41" spans="1:13" x14ac:dyDescent="0.2">
      <c r="A41" t="s">
        <v>24</v>
      </c>
      <c r="B41" t="s">
        <v>27</v>
      </c>
      <c r="C41" t="s">
        <v>26</v>
      </c>
      <c r="D41" t="s">
        <v>28</v>
      </c>
      <c r="E41" t="s">
        <v>29</v>
      </c>
      <c r="F41" t="s">
        <v>30</v>
      </c>
      <c r="G41" t="s">
        <v>31</v>
      </c>
      <c r="H41" t="s">
        <v>33</v>
      </c>
    </row>
    <row r="42" spans="1:13" x14ac:dyDescent="0.2">
      <c r="A42" t="s">
        <v>45</v>
      </c>
      <c r="B42">
        <v>82</v>
      </c>
      <c r="C42">
        <v>1650</v>
      </c>
      <c r="D42">
        <v>2.5</v>
      </c>
      <c r="E42">
        <v>13</v>
      </c>
      <c r="F42">
        <v>32</v>
      </c>
      <c r="G42" s="1" t="s">
        <v>46</v>
      </c>
      <c r="H42">
        <v>85</v>
      </c>
    </row>
    <row r="44" spans="1:13" x14ac:dyDescent="0.2">
      <c r="A44" t="s">
        <v>34</v>
      </c>
      <c r="B44" t="s">
        <v>35</v>
      </c>
      <c r="C44" t="s">
        <v>36</v>
      </c>
      <c r="D44" t="s">
        <v>38</v>
      </c>
      <c r="E44" t="s">
        <v>37</v>
      </c>
    </row>
    <row r="45" spans="1:13" x14ac:dyDescent="0.2">
      <c r="A45">
        <v>2019</v>
      </c>
      <c r="B45">
        <v>271036</v>
      </c>
      <c r="C45">
        <v>152784</v>
      </c>
      <c r="D45">
        <v>224854</v>
      </c>
      <c r="E45">
        <v>130232</v>
      </c>
      <c r="F45">
        <v>161677</v>
      </c>
      <c r="G45">
        <v>114249</v>
      </c>
      <c r="H45">
        <v>180063</v>
      </c>
      <c r="I45">
        <v>239270</v>
      </c>
      <c r="J45">
        <v>168139</v>
      </c>
      <c r="K45">
        <v>96411.8</v>
      </c>
      <c r="L45">
        <v>86939.3</v>
      </c>
      <c r="M45">
        <v>149090</v>
      </c>
    </row>
    <row r="46" spans="1:13" x14ac:dyDescent="0.2">
      <c r="A46">
        <v>2020</v>
      </c>
      <c r="B46">
        <v>157318</v>
      </c>
      <c r="C46">
        <v>250550</v>
      </c>
      <c r="D46">
        <v>229720</v>
      </c>
      <c r="E46">
        <v>194645</v>
      </c>
      <c r="F46">
        <v>139715</v>
      </c>
      <c r="G46">
        <v>103376</v>
      </c>
      <c r="H46">
        <v>196883</v>
      </c>
      <c r="I46">
        <v>192120</v>
      </c>
      <c r="J46">
        <v>165238</v>
      </c>
      <c r="K46">
        <v>108728</v>
      </c>
      <c r="L46">
        <v>119719</v>
      </c>
      <c r="M46">
        <v>119061</v>
      </c>
    </row>
    <row r="47" spans="1:13" x14ac:dyDescent="0.2">
      <c r="A47">
        <v>2021</v>
      </c>
      <c r="B47">
        <v>264190</v>
      </c>
      <c r="C47">
        <v>201472</v>
      </c>
      <c r="D47">
        <v>201634</v>
      </c>
      <c r="E47">
        <v>288682</v>
      </c>
      <c r="F47">
        <v>206388</v>
      </c>
      <c r="G47">
        <v>96533.8</v>
      </c>
      <c r="H47">
        <v>226339</v>
      </c>
      <c r="I47">
        <v>180126</v>
      </c>
      <c r="J47">
        <v>170906</v>
      </c>
      <c r="K47">
        <v>124242</v>
      </c>
      <c r="L47">
        <v>184203</v>
      </c>
      <c r="M47">
        <v>193407</v>
      </c>
    </row>
    <row r="48" spans="1:13" x14ac:dyDescent="0.2">
      <c r="A48">
        <v>2022</v>
      </c>
      <c r="B48">
        <v>206355</v>
      </c>
      <c r="C48">
        <v>213574</v>
      </c>
      <c r="D48">
        <v>191377</v>
      </c>
      <c r="E48">
        <v>251801</v>
      </c>
      <c r="F48">
        <v>150129</v>
      </c>
      <c r="G48">
        <v>192166</v>
      </c>
      <c r="H48">
        <v>227799</v>
      </c>
      <c r="I48">
        <v>163825</v>
      </c>
      <c r="J48">
        <v>152360</v>
      </c>
      <c r="K48">
        <v>166158</v>
      </c>
      <c r="L48">
        <v>170283</v>
      </c>
      <c r="M48">
        <v>95221.1</v>
      </c>
    </row>
    <row r="51" spans="1:13" x14ac:dyDescent="0.2">
      <c r="A51" t="s">
        <v>24</v>
      </c>
      <c r="B51" t="s">
        <v>27</v>
      </c>
      <c r="C51" t="s">
        <v>26</v>
      </c>
      <c r="D51" t="s">
        <v>28</v>
      </c>
      <c r="E51" t="s">
        <v>29</v>
      </c>
      <c r="F51" t="s">
        <v>30</v>
      </c>
      <c r="G51" t="s">
        <v>31</v>
      </c>
      <c r="H51" t="s">
        <v>33</v>
      </c>
    </row>
    <row r="52" spans="1:13" x14ac:dyDescent="0.2">
      <c r="A52" t="s">
        <v>47</v>
      </c>
      <c r="B52">
        <v>52</v>
      </c>
      <c r="C52">
        <v>850</v>
      </c>
      <c r="D52">
        <v>3</v>
      </c>
      <c r="E52">
        <v>14</v>
      </c>
      <c r="F52">
        <v>25</v>
      </c>
      <c r="G52" t="s">
        <v>48</v>
      </c>
      <c r="H52">
        <v>55</v>
      </c>
    </row>
    <row r="54" spans="1:13" x14ac:dyDescent="0.2">
      <c r="A54" t="s">
        <v>34</v>
      </c>
      <c r="B54" t="s">
        <v>35</v>
      </c>
      <c r="C54" t="s">
        <v>36</v>
      </c>
      <c r="D54" t="s">
        <v>38</v>
      </c>
      <c r="E54" t="s">
        <v>37</v>
      </c>
    </row>
    <row r="55" spans="1:13" x14ac:dyDescent="0.2">
      <c r="A55">
        <v>2019</v>
      </c>
      <c r="B55">
        <v>49312.2</v>
      </c>
      <c r="C55">
        <v>23404.1</v>
      </c>
      <c r="D55">
        <v>39946</v>
      </c>
      <c r="E55">
        <v>18311.400000000001</v>
      </c>
      <c r="F55">
        <v>23761.1</v>
      </c>
      <c r="G55">
        <v>15202.6</v>
      </c>
      <c r="H55">
        <v>25321.4</v>
      </c>
      <c r="I55">
        <v>35632.800000000003</v>
      </c>
      <c r="J55">
        <v>24615.9</v>
      </c>
      <c r="K55">
        <v>13669.3</v>
      </c>
      <c r="L55">
        <v>12335.9</v>
      </c>
      <c r="M55">
        <v>29319.4</v>
      </c>
    </row>
    <row r="56" spans="1:13" x14ac:dyDescent="0.2">
      <c r="A56">
        <v>2020</v>
      </c>
      <c r="B56">
        <v>23352</v>
      </c>
      <c r="C56">
        <v>50848.1</v>
      </c>
      <c r="D56">
        <v>39396.1</v>
      </c>
      <c r="E56">
        <v>35950.699999999997</v>
      </c>
      <c r="F56">
        <v>20537.599999999999</v>
      </c>
      <c r="G56">
        <v>12415.3</v>
      </c>
      <c r="H56">
        <v>28353.9</v>
      </c>
      <c r="I56">
        <v>30330</v>
      </c>
      <c r="J56">
        <v>23424</v>
      </c>
      <c r="K56">
        <v>14175.1</v>
      </c>
      <c r="L56">
        <v>16883.2</v>
      </c>
      <c r="M56">
        <v>16096.1</v>
      </c>
    </row>
    <row r="57" spans="1:13" x14ac:dyDescent="0.2">
      <c r="A57">
        <v>2021</v>
      </c>
      <c r="B57">
        <v>52287.8</v>
      </c>
      <c r="C57">
        <v>35336.199999999997</v>
      </c>
      <c r="D57">
        <v>36016.699999999997</v>
      </c>
      <c r="E57">
        <v>53529.3</v>
      </c>
      <c r="F57">
        <v>31376.6</v>
      </c>
      <c r="G57">
        <v>11852.9</v>
      </c>
      <c r="H57">
        <v>33450.1</v>
      </c>
      <c r="I57">
        <v>26099.8</v>
      </c>
      <c r="J57">
        <v>23583.8</v>
      </c>
      <c r="K57">
        <v>15797.7</v>
      </c>
      <c r="L57">
        <v>40489.800000000003</v>
      </c>
      <c r="M57">
        <v>30243.3</v>
      </c>
    </row>
    <row r="58" spans="1:13" x14ac:dyDescent="0.2">
      <c r="A58">
        <v>2022</v>
      </c>
      <c r="B58">
        <v>32352.7</v>
      </c>
      <c r="C58">
        <v>39594.5</v>
      </c>
      <c r="D58">
        <v>30521.599999999999</v>
      </c>
      <c r="E58">
        <v>49335.1</v>
      </c>
      <c r="F58">
        <v>21280.799999999999</v>
      </c>
      <c r="G58">
        <v>29572</v>
      </c>
      <c r="H58">
        <v>33068.9</v>
      </c>
      <c r="I58">
        <v>23204.2</v>
      </c>
      <c r="J58">
        <v>22313.8</v>
      </c>
      <c r="K58">
        <v>25706.2</v>
      </c>
      <c r="L58">
        <v>25532.1</v>
      </c>
      <c r="M58">
        <v>12704.9</v>
      </c>
    </row>
    <row r="61" spans="1:13" x14ac:dyDescent="0.2">
      <c r="A61" t="s">
        <v>24</v>
      </c>
      <c r="B61" t="s">
        <v>27</v>
      </c>
      <c r="C61" t="s">
        <v>26</v>
      </c>
      <c r="D61" t="s">
        <v>28</v>
      </c>
      <c r="E61" t="s">
        <v>29</v>
      </c>
      <c r="F61" t="s">
        <v>30</v>
      </c>
      <c r="G61" t="s">
        <v>31</v>
      </c>
      <c r="H61" t="s">
        <v>33</v>
      </c>
    </row>
    <row r="62" spans="1:13" x14ac:dyDescent="0.2">
      <c r="A62" t="s">
        <v>85</v>
      </c>
      <c r="B62">
        <v>120</v>
      </c>
      <c r="C62">
        <v>3600</v>
      </c>
      <c r="D62">
        <v>3</v>
      </c>
      <c r="E62">
        <v>14.5</v>
      </c>
      <c r="F62">
        <v>25</v>
      </c>
      <c r="G62">
        <v>90</v>
      </c>
      <c r="H62">
        <v>90</v>
      </c>
    </row>
    <row r="64" spans="1:13" x14ac:dyDescent="0.2">
      <c r="A64" t="s">
        <v>34</v>
      </c>
      <c r="B64" t="s">
        <v>35</v>
      </c>
      <c r="C64" t="s">
        <v>36</v>
      </c>
      <c r="D64" t="s">
        <v>38</v>
      </c>
      <c r="E64" t="s">
        <v>37</v>
      </c>
    </row>
    <row r="65" spans="1:13" x14ac:dyDescent="0.2">
      <c r="A65">
        <v>2019</v>
      </c>
      <c r="B65">
        <v>381308</v>
      </c>
      <c r="C65">
        <v>204695</v>
      </c>
      <c r="D65">
        <v>316306</v>
      </c>
      <c r="E65">
        <v>172273</v>
      </c>
      <c r="F65">
        <v>212666</v>
      </c>
      <c r="G65">
        <v>146373</v>
      </c>
      <c r="H65">
        <v>227883</v>
      </c>
      <c r="I65">
        <v>302007</v>
      </c>
      <c r="J65">
        <v>214240</v>
      </c>
      <c r="K65">
        <v>136223</v>
      </c>
      <c r="L65">
        <v>121315</v>
      </c>
      <c r="M65">
        <v>220713</v>
      </c>
    </row>
    <row r="66" spans="1:13" x14ac:dyDescent="0.2">
      <c r="A66">
        <v>2020</v>
      </c>
      <c r="B66">
        <v>207159</v>
      </c>
      <c r="C66">
        <v>365479</v>
      </c>
      <c r="D66">
        <v>312733</v>
      </c>
      <c r="E66">
        <v>288744</v>
      </c>
      <c r="F66">
        <v>185243</v>
      </c>
      <c r="G66">
        <v>132871</v>
      </c>
      <c r="H66">
        <v>247871</v>
      </c>
      <c r="I66">
        <v>250917</v>
      </c>
      <c r="J66">
        <v>208568</v>
      </c>
      <c r="K66">
        <v>141443</v>
      </c>
      <c r="L66">
        <v>155440</v>
      </c>
      <c r="M66">
        <v>154399</v>
      </c>
    </row>
    <row r="67" spans="1:13" x14ac:dyDescent="0.2">
      <c r="A67">
        <v>2021</v>
      </c>
      <c r="B67">
        <v>391455</v>
      </c>
      <c r="C67">
        <v>279445</v>
      </c>
      <c r="D67">
        <v>287059</v>
      </c>
      <c r="E67">
        <v>409418</v>
      </c>
      <c r="F67">
        <v>268922</v>
      </c>
      <c r="G67">
        <v>124587</v>
      </c>
      <c r="H67">
        <v>287301</v>
      </c>
      <c r="I67">
        <v>230487</v>
      </c>
      <c r="J67">
        <v>215489</v>
      </c>
      <c r="K67">
        <v>158400</v>
      </c>
      <c r="L67">
        <v>283061</v>
      </c>
      <c r="M67">
        <v>258427</v>
      </c>
    </row>
    <row r="68" spans="1:13" x14ac:dyDescent="0.2">
      <c r="A68">
        <v>2022</v>
      </c>
      <c r="B68">
        <v>278841</v>
      </c>
      <c r="C68">
        <v>308115</v>
      </c>
      <c r="D68">
        <v>263182</v>
      </c>
      <c r="E68">
        <v>367854</v>
      </c>
      <c r="F68">
        <v>194671</v>
      </c>
      <c r="G68">
        <v>251552</v>
      </c>
      <c r="H68">
        <v>285072</v>
      </c>
      <c r="I68">
        <v>209292</v>
      </c>
      <c r="J68">
        <v>198604</v>
      </c>
      <c r="K68">
        <v>217557</v>
      </c>
      <c r="L68">
        <v>224317</v>
      </c>
      <c r="M68">
        <v>126070</v>
      </c>
    </row>
    <row r="71" spans="1:13" x14ac:dyDescent="0.2">
      <c r="A71" t="s">
        <v>24</v>
      </c>
      <c r="B71" t="s">
        <v>27</v>
      </c>
      <c r="C71" t="s">
        <v>26</v>
      </c>
      <c r="D71" t="s">
        <v>28</v>
      </c>
      <c r="E71" t="s">
        <v>29</v>
      </c>
      <c r="F71" t="s">
        <v>30</v>
      </c>
      <c r="G71" t="s">
        <v>31</v>
      </c>
      <c r="H71" t="s">
        <v>33</v>
      </c>
    </row>
    <row r="72" spans="1:13" x14ac:dyDescent="0.2">
      <c r="A72" t="s">
        <v>86</v>
      </c>
      <c r="B72">
        <v>128</v>
      </c>
      <c r="C72">
        <v>4500</v>
      </c>
      <c r="D72">
        <v>2</v>
      </c>
      <c r="E72">
        <v>12.5</v>
      </c>
      <c r="F72">
        <v>27</v>
      </c>
      <c r="G72" s="1" t="s">
        <v>87</v>
      </c>
      <c r="H72">
        <v>120</v>
      </c>
    </row>
    <row r="74" spans="1:13" x14ac:dyDescent="0.2">
      <c r="A74" t="s">
        <v>34</v>
      </c>
      <c r="B74" t="s">
        <v>35</v>
      </c>
      <c r="C74" t="s">
        <v>36</v>
      </c>
      <c r="D74" t="s">
        <v>38</v>
      </c>
      <c r="E74" t="s">
        <v>37</v>
      </c>
    </row>
    <row r="75" spans="1:13" x14ac:dyDescent="0.2">
      <c r="A75">
        <v>2019</v>
      </c>
      <c r="B75">
        <v>685761</v>
      </c>
      <c r="C75">
        <v>376475</v>
      </c>
      <c r="D75">
        <v>582374</v>
      </c>
      <c r="E75">
        <v>329368</v>
      </c>
      <c r="F75">
        <v>401806</v>
      </c>
      <c r="G75">
        <v>282661</v>
      </c>
      <c r="H75">
        <v>435400</v>
      </c>
      <c r="I75">
        <v>576743</v>
      </c>
      <c r="J75">
        <v>405622</v>
      </c>
      <c r="K75">
        <v>253579</v>
      </c>
      <c r="L75">
        <v>227064</v>
      </c>
      <c r="M75">
        <v>382771</v>
      </c>
    </row>
    <row r="76" spans="1:13" x14ac:dyDescent="0.2">
      <c r="A76">
        <v>2020</v>
      </c>
      <c r="B76">
        <v>387414</v>
      </c>
      <c r="C76">
        <v>642165</v>
      </c>
      <c r="D76">
        <v>574536</v>
      </c>
      <c r="E76">
        <v>505147</v>
      </c>
      <c r="F76">
        <v>348857</v>
      </c>
      <c r="G76">
        <v>257331</v>
      </c>
      <c r="H76">
        <v>472742</v>
      </c>
      <c r="I76">
        <v>481265</v>
      </c>
      <c r="J76">
        <v>398429</v>
      </c>
      <c r="K76">
        <v>272923</v>
      </c>
      <c r="L76">
        <v>298837</v>
      </c>
      <c r="M76">
        <v>298185</v>
      </c>
    </row>
    <row r="77" spans="1:13" x14ac:dyDescent="0.2">
      <c r="A77">
        <v>2021</v>
      </c>
      <c r="B77">
        <v>681259</v>
      </c>
      <c r="C77">
        <v>518840</v>
      </c>
      <c r="D77">
        <v>520694</v>
      </c>
      <c r="E77">
        <v>739553</v>
      </c>
      <c r="F77">
        <v>511011</v>
      </c>
      <c r="G77">
        <v>241311</v>
      </c>
      <c r="H77">
        <v>549023</v>
      </c>
      <c r="I77">
        <v>441137</v>
      </c>
      <c r="J77">
        <v>410716</v>
      </c>
      <c r="K77">
        <v>301830</v>
      </c>
      <c r="L77">
        <v>482959</v>
      </c>
      <c r="M77">
        <v>468478</v>
      </c>
    </row>
    <row r="78" spans="1:13" x14ac:dyDescent="0.2">
      <c r="A78">
        <v>2022</v>
      </c>
      <c r="B78">
        <v>516779</v>
      </c>
      <c r="C78">
        <v>556860</v>
      </c>
      <c r="D78">
        <v>492080</v>
      </c>
      <c r="E78">
        <v>649313</v>
      </c>
      <c r="F78">
        <v>370468</v>
      </c>
      <c r="G78">
        <v>474020</v>
      </c>
      <c r="H78">
        <v>542860</v>
      </c>
      <c r="I78">
        <v>401218</v>
      </c>
      <c r="J78">
        <v>379041</v>
      </c>
      <c r="K78">
        <v>404036</v>
      </c>
      <c r="L78">
        <v>427252</v>
      </c>
      <c r="M78">
        <v>246272</v>
      </c>
    </row>
    <row r="84" spans="1:14" x14ac:dyDescent="0.2">
      <c r="D84" s="12" t="s">
        <v>53</v>
      </c>
      <c r="E84" s="12"/>
      <c r="F84" s="12"/>
      <c r="G84" s="12"/>
    </row>
    <row r="85" spans="1:14" x14ac:dyDescent="0.2">
      <c r="A85" t="s">
        <v>77</v>
      </c>
      <c r="B85" t="s">
        <v>80</v>
      </c>
      <c r="C85" t="s">
        <v>24</v>
      </c>
      <c r="D85" t="s">
        <v>49</v>
      </c>
      <c r="E85" t="s">
        <v>50</v>
      </c>
      <c r="F85" t="s">
        <v>51</v>
      </c>
      <c r="G85" t="s">
        <v>52</v>
      </c>
      <c r="L85" t="s">
        <v>78</v>
      </c>
      <c r="N85" t="s">
        <v>102</v>
      </c>
    </row>
    <row r="86" spans="1:14" x14ac:dyDescent="0.2">
      <c r="A86">
        <f t="shared" ref="A86:A93" si="0">$C$117*B86/1000</f>
        <v>726928.47499999998</v>
      </c>
      <c r="B86" s="1">
        <v>910</v>
      </c>
      <c r="C86" t="s">
        <v>23</v>
      </c>
      <c r="D86">
        <f>SUM(B5:D8)/4</f>
        <v>135756.625</v>
      </c>
      <c r="E86">
        <f>SUM(E5:G8)/4</f>
        <v>101216.97500000001</v>
      </c>
      <c r="F86">
        <f>SUM(H5:J8)/4</f>
        <v>101966.32499999998</v>
      </c>
      <c r="G86">
        <f>SUM(K5:M8)/4</f>
        <v>81962.125</v>
      </c>
      <c r="H86" t="str">
        <f>_xlfn.TEXTJOIN(",", TRUE, D86, E86, F86, G86)</f>
        <v>135756.625,101216.975,101966.325,81962.125</v>
      </c>
      <c r="L86">
        <f t="shared" ref="L86:L91" si="1">$C$152*$L$97*B86</f>
        <v>12502.717878087578</v>
      </c>
    </row>
    <row r="87" spans="1:14" x14ac:dyDescent="0.2">
      <c r="A87">
        <f t="shared" si="0"/>
        <v>1637586.125</v>
      </c>
      <c r="B87" s="1">
        <v>2050</v>
      </c>
      <c r="C87" t="s">
        <v>39</v>
      </c>
      <c r="D87">
        <f>SUM(B15:D18)/4</f>
        <v>603989.25</v>
      </c>
      <c r="E87">
        <f>SUM(E15:G18)/4</f>
        <v>461937.92500000005</v>
      </c>
      <c r="F87">
        <f>SUM(H15:J18)/4</f>
        <v>483683.25</v>
      </c>
      <c r="G87">
        <f>SUM(K15:M18)/4</f>
        <v>364889.02499999997</v>
      </c>
      <c r="H87" t="str">
        <f t="shared" ref="H87:H93" si="2">_xlfn.TEXTJOIN(",", TRUE, D87, E87, F87, G87)</f>
        <v>603989.25,461937.925,483683.25,364889.025</v>
      </c>
      <c r="L87">
        <f t="shared" si="1"/>
        <v>28165.463351735754</v>
      </c>
    </row>
    <row r="88" spans="1:14" x14ac:dyDescent="0.2">
      <c r="A88">
        <f t="shared" si="0"/>
        <v>1845279.9750000001</v>
      </c>
      <c r="B88" s="1">
        <v>2310</v>
      </c>
      <c r="C88" t="s">
        <v>41</v>
      </c>
      <c r="D88">
        <f>SUM(B25:D28)/4</f>
        <v>472581.25</v>
      </c>
      <c r="E88">
        <f>SUM(E25:G28)/4</f>
        <v>354581.44999999995</v>
      </c>
      <c r="F88">
        <f>SUM(H25:J28)/4</f>
        <v>362762.25</v>
      </c>
      <c r="G88">
        <f>SUM(K25:M28)/4</f>
        <v>282265.57500000001</v>
      </c>
      <c r="H88" t="str">
        <f t="shared" si="2"/>
        <v>472581.25,354581.45,362762.25,282265.575</v>
      </c>
      <c r="L88">
        <f t="shared" si="1"/>
        <v>31737.668459760775</v>
      </c>
    </row>
    <row r="89" spans="1:14" x14ac:dyDescent="0.2">
      <c r="A89">
        <f t="shared" si="0"/>
        <v>2396467.5</v>
      </c>
      <c r="B89" s="1">
        <v>3000</v>
      </c>
      <c r="C89" t="s">
        <v>43</v>
      </c>
      <c r="D89">
        <f>SUM(B35:D38)/4</f>
        <v>607253.75</v>
      </c>
      <c r="E89">
        <f>SUM(E35:G38)/4</f>
        <v>453880.02499999997</v>
      </c>
      <c r="F89">
        <f>SUM(H35:J38)/4</f>
        <v>468407</v>
      </c>
      <c r="G89">
        <f>SUM(K35:M38)/4</f>
        <v>360940.55</v>
      </c>
      <c r="H89" t="str">
        <f t="shared" si="2"/>
        <v>607253.75,453880.025,468407,360940.55</v>
      </c>
      <c r="L89">
        <f t="shared" si="1"/>
        <v>41217.751246442567</v>
      </c>
    </row>
    <row r="90" spans="1:14" x14ac:dyDescent="0.2">
      <c r="A90">
        <f t="shared" si="0"/>
        <v>1318057.125</v>
      </c>
      <c r="B90" s="1">
        <v>1650</v>
      </c>
      <c r="C90" t="s">
        <v>45</v>
      </c>
      <c r="D90">
        <f>SUM(B45:D48)/4</f>
        <v>641216</v>
      </c>
      <c r="E90">
        <f>SUM(E45:G48)/4</f>
        <v>507398.45</v>
      </c>
      <c r="F90">
        <f>SUM(H45:J48)/4</f>
        <v>565767</v>
      </c>
      <c r="G90">
        <f>SUM(K45:M48)/4</f>
        <v>403365.80000000005</v>
      </c>
      <c r="H90" t="str">
        <f t="shared" si="2"/>
        <v>641216,507398.45,565767,403365.8</v>
      </c>
      <c r="L90">
        <f t="shared" si="1"/>
        <v>22669.763185543412</v>
      </c>
    </row>
    <row r="91" spans="1:14" x14ac:dyDescent="0.2">
      <c r="A91">
        <f t="shared" si="0"/>
        <v>678999.125</v>
      </c>
      <c r="B91" s="1">
        <v>850</v>
      </c>
      <c r="C91" s="2" t="s">
        <v>47</v>
      </c>
      <c r="D91">
        <f>SUM(B55:D58)/4</f>
        <v>113092</v>
      </c>
      <c r="E91">
        <f>SUM(E55:G58)/4</f>
        <v>80781.349999999991</v>
      </c>
      <c r="F91">
        <f>SUM(H55:J58)/4</f>
        <v>82349.649999999994</v>
      </c>
      <c r="G91">
        <f>SUM(K55:M58)/4</f>
        <v>63238.25</v>
      </c>
      <c r="H91" t="str">
        <f t="shared" si="2"/>
        <v>113092,80781.35,82349.65,63238.25</v>
      </c>
      <c r="L91">
        <f t="shared" si="1"/>
        <v>11678.362853158727</v>
      </c>
    </row>
    <row r="92" spans="1:14" x14ac:dyDescent="0.2">
      <c r="A92">
        <f t="shared" si="0"/>
        <v>2875761</v>
      </c>
      <c r="B92">
        <v>3600</v>
      </c>
      <c r="C92" t="s">
        <v>85</v>
      </c>
      <c r="D92">
        <f>SUM(B65:D68)/4</f>
        <v>898944.25</v>
      </c>
      <c r="E92">
        <f>SUM(E65:G68)/4</f>
        <v>688793.5</v>
      </c>
      <c r="F92">
        <f>SUM(H65:J68)/4</f>
        <v>719432.75</v>
      </c>
      <c r="G92">
        <f>SUM(K65:M68)/4</f>
        <v>549341.25</v>
      </c>
      <c r="H92" t="str">
        <f t="shared" si="2"/>
        <v>898944.25,688793.5,719432.75,549341.25</v>
      </c>
      <c r="L92">
        <f t="shared" ref="L92" si="3">$C$152*$L$97*B92</f>
        <v>49461.301495731081</v>
      </c>
    </row>
    <row r="93" spans="1:14" x14ac:dyDescent="0.2">
      <c r="A93">
        <f t="shared" si="0"/>
        <v>3594701.25</v>
      </c>
      <c r="B93">
        <v>4500</v>
      </c>
      <c r="C93" t="s">
        <v>86</v>
      </c>
      <c r="D93">
        <f>SUM(B75:D78)/4</f>
        <v>1633809.25</v>
      </c>
      <c r="E93">
        <f>SUM(E75:G78)/4</f>
        <v>1277711.5</v>
      </c>
      <c r="F93">
        <f>SUM(H75:J78)/4</f>
        <v>1373549</v>
      </c>
      <c r="G93">
        <f>SUM(K75:M78)/4</f>
        <v>1016046.5</v>
      </c>
      <c r="H93" t="str">
        <f t="shared" si="2"/>
        <v>1633809.25,1277711.5,1373549,1016046.5</v>
      </c>
      <c r="L93">
        <f>$C$152*$L$97*B93</f>
        <v>61826.626869663851</v>
      </c>
    </row>
    <row r="96" spans="1:14" x14ac:dyDescent="0.2">
      <c r="L96" t="s">
        <v>79</v>
      </c>
    </row>
    <row r="97" spans="2:12" x14ac:dyDescent="0.2">
      <c r="B97" t="s">
        <v>25</v>
      </c>
      <c r="C97" t="s">
        <v>24</v>
      </c>
      <c r="D97" t="s">
        <v>49</v>
      </c>
      <c r="E97" t="s">
        <v>50</v>
      </c>
      <c r="F97" t="s">
        <v>51</v>
      </c>
      <c r="G97" t="s">
        <v>52</v>
      </c>
      <c r="L97">
        <v>1.0756600000000001</v>
      </c>
    </row>
    <row r="98" spans="2:12" x14ac:dyDescent="0.2">
      <c r="B98" s="1">
        <v>910</v>
      </c>
      <c r="C98" t="s">
        <v>23</v>
      </c>
      <c r="D98">
        <f>D86/$B98</f>
        <v>149.1831043956044</v>
      </c>
      <c r="E98">
        <f t="shared" ref="E98:F98" si="4">E86/$B98</f>
        <v>111.22744505494506</v>
      </c>
      <c r="F98">
        <f t="shared" si="4"/>
        <v>112.05090659340658</v>
      </c>
      <c r="G98">
        <f>G86/$B98</f>
        <v>90.068269230769232</v>
      </c>
    </row>
    <row r="99" spans="2:12" x14ac:dyDescent="0.2">
      <c r="B99" s="1">
        <v>2050</v>
      </c>
      <c r="C99" t="s">
        <v>39</v>
      </c>
      <c r="D99">
        <f t="shared" ref="D99:G99" si="5">D87/$B99</f>
        <v>294.62890243902439</v>
      </c>
      <c r="E99">
        <f t="shared" si="5"/>
        <v>225.33557317073172</v>
      </c>
      <c r="F99">
        <f t="shared" si="5"/>
        <v>235.9430487804878</v>
      </c>
      <c r="G99">
        <f t="shared" si="5"/>
        <v>177.99464634146341</v>
      </c>
    </row>
    <row r="100" spans="2:12" x14ac:dyDescent="0.2">
      <c r="B100" s="1">
        <v>2310</v>
      </c>
      <c r="C100" t="s">
        <v>41</v>
      </c>
      <c r="D100">
        <f t="shared" ref="D100:G100" si="6">D88/$B100</f>
        <v>204.58062770562771</v>
      </c>
      <c r="E100">
        <f t="shared" si="6"/>
        <v>153.49846320346319</v>
      </c>
      <c r="F100">
        <f t="shared" si="6"/>
        <v>157.03993506493507</v>
      </c>
      <c r="G100">
        <f t="shared" si="6"/>
        <v>122.19288961038961</v>
      </c>
    </row>
    <row r="101" spans="2:12" x14ac:dyDescent="0.2">
      <c r="B101" s="1">
        <v>3000</v>
      </c>
      <c r="C101" t="s">
        <v>43</v>
      </c>
      <c r="D101">
        <f t="shared" ref="D101:G101" si="7">D89/$B101</f>
        <v>202.41791666666666</v>
      </c>
      <c r="E101">
        <f t="shared" si="7"/>
        <v>151.29334166666666</v>
      </c>
      <c r="F101">
        <f t="shared" si="7"/>
        <v>156.13566666666668</v>
      </c>
      <c r="G101">
        <f t="shared" si="7"/>
        <v>120.31351666666666</v>
      </c>
    </row>
    <row r="102" spans="2:12" x14ac:dyDescent="0.2">
      <c r="B102" s="1">
        <v>1650</v>
      </c>
      <c r="C102" t="s">
        <v>45</v>
      </c>
      <c r="D102">
        <f t="shared" ref="D102:G102" si="8">D90/$B102</f>
        <v>388.61575757575758</v>
      </c>
      <c r="E102">
        <f t="shared" si="8"/>
        <v>307.51421212121215</v>
      </c>
      <c r="F102">
        <f t="shared" si="8"/>
        <v>342.8890909090909</v>
      </c>
      <c r="G102">
        <f t="shared" si="8"/>
        <v>244.46412121212123</v>
      </c>
    </row>
    <row r="103" spans="2:12" x14ac:dyDescent="0.2">
      <c r="B103" s="1">
        <v>850</v>
      </c>
      <c r="C103" s="2" t="s">
        <v>47</v>
      </c>
      <c r="D103">
        <f t="shared" ref="D103:F103" si="9">D91/$B103</f>
        <v>133.04941176470589</v>
      </c>
      <c r="E103">
        <f t="shared" si="9"/>
        <v>95.036882352941163</v>
      </c>
      <c r="F103">
        <f t="shared" si="9"/>
        <v>96.881941176470576</v>
      </c>
      <c r="G103">
        <f>G91/$B103</f>
        <v>74.397941176470582</v>
      </c>
    </row>
    <row r="112" spans="2:12" x14ac:dyDescent="0.2">
      <c r="B112" s="14" t="s">
        <v>84</v>
      </c>
      <c r="C112" s="14"/>
      <c r="D112" s="14"/>
      <c r="E112" s="14"/>
    </row>
    <row r="113" spans="1:11" x14ac:dyDescent="0.2">
      <c r="F113" t="s">
        <v>72</v>
      </c>
      <c r="G113" t="s">
        <v>73</v>
      </c>
      <c r="H113" t="s">
        <v>74</v>
      </c>
      <c r="I113" s="12" t="s">
        <v>75</v>
      </c>
      <c r="J113" s="12"/>
      <c r="K113" s="12"/>
    </row>
    <row r="114" spans="1:11" x14ac:dyDescent="0.2">
      <c r="A114" t="s">
        <v>92</v>
      </c>
      <c r="B114" t="s">
        <v>60</v>
      </c>
      <c r="C114">
        <v>21722000</v>
      </c>
      <c r="F114">
        <v>16000000</v>
      </c>
      <c r="G114">
        <v>3171740</v>
      </c>
      <c r="H114">
        <v>1650000</v>
      </c>
      <c r="I114" s="13">
        <v>900000</v>
      </c>
      <c r="J114" s="13"/>
      <c r="K114" s="13"/>
    </row>
    <row r="115" spans="1:11" x14ac:dyDescent="0.2">
      <c r="A115" t="s">
        <v>92</v>
      </c>
      <c r="B115" t="s">
        <v>61</v>
      </c>
      <c r="C115">
        <f>C114/24</f>
        <v>905083.33333333337</v>
      </c>
      <c r="D115" s="1" t="s">
        <v>65</v>
      </c>
    </row>
    <row r="116" spans="1:11" x14ac:dyDescent="0.2">
      <c r="A116" t="s">
        <v>93</v>
      </c>
      <c r="B116" t="s">
        <v>60</v>
      </c>
      <c r="C116">
        <f>F114+G114</f>
        <v>19171740</v>
      </c>
    </row>
    <row r="117" spans="1:11" x14ac:dyDescent="0.2">
      <c r="A117" t="s">
        <v>93</v>
      </c>
      <c r="B117" t="s">
        <v>61</v>
      </c>
      <c r="C117">
        <f>C116/24</f>
        <v>798822.5</v>
      </c>
    </row>
    <row r="118" spans="1:11" x14ac:dyDescent="0.2">
      <c r="G118">
        <f>1-(G114/(G114+F114))</f>
        <v>0.83456170384117456</v>
      </c>
    </row>
    <row r="119" spans="1:11" x14ac:dyDescent="0.2">
      <c r="G119">
        <f>1-2*(G114/(F114+G114))</f>
        <v>0.66912340768234913</v>
      </c>
      <c r="H119">
        <f>0.67</f>
        <v>0.67</v>
      </c>
    </row>
    <row r="120" spans="1:11" x14ac:dyDescent="0.2">
      <c r="B120" s="15" t="s">
        <v>62</v>
      </c>
      <c r="C120" s="15"/>
      <c r="G120">
        <f>G119/25</f>
        <v>2.6764936307293964E-2</v>
      </c>
      <c r="H120">
        <f>H119/25</f>
        <v>2.6800000000000001E-2</v>
      </c>
    </row>
    <row r="122" spans="1:11" x14ac:dyDescent="0.2">
      <c r="B122" t="s">
        <v>61</v>
      </c>
      <c r="C122">
        <v>922550</v>
      </c>
      <c r="D122" s="1" t="s">
        <v>63</v>
      </c>
      <c r="F122">
        <f>SUM(F114:K114)</f>
        <v>21721740</v>
      </c>
    </row>
    <row r="123" spans="1:11" x14ac:dyDescent="0.2">
      <c r="B123" t="s">
        <v>61</v>
      </c>
      <c r="C123">
        <f>C122*L97</f>
        <v>992350.13300000003</v>
      </c>
      <c r="D123" s="1" t="s">
        <v>65</v>
      </c>
      <c r="F123">
        <f>(F114+G114)/F122</f>
        <v>0.88260608956741038</v>
      </c>
    </row>
    <row r="125" spans="1:11" x14ac:dyDescent="0.2">
      <c r="B125" s="14" t="s">
        <v>64</v>
      </c>
      <c r="C125" s="14"/>
    </row>
    <row r="127" spans="1:11" x14ac:dyDescent="0.2">
      <c r="B127" t="s">
        <v>61</v>
      </c>
      <c r="C127">
        <v>310804.5</v>
      </c>
      <c r="D127" s="1" t="s">
        <v>63</v>
      </c>
    </row>
    <row r="128" spans="1:11" x14ac:dyDescent="0.2">
      <c r="B128" t="s">
        <v>61</v>
      </c>
      <c r="C128">
        <f>C127*L97</f>
        <v>334319.96847000002</v>
      </c>
      <c r="D128" s="1" t="s">
        <v>65</v>
      </c>
    </row>
    <row r="133" spans="2:9" x14ac:dyDescent="0.2">
      <c r="H133" s="4"/>
    </row>
    <row r="134" spans="2:9" ht="16" customHeight="1" x14ac:dyDescent="0.2">
      <c r="B134" s="12" t="s">
        <v>81</v>
      </c>
      <c r="C134" s="12"/>
      <c r="D134" s="12"/>
      <c r="H134" s="5"/>
      <c r="I134" s="5"/>
    </row>
    <row r="135" spans="2:9" ht="16" customHeight="1" x14ac:dyDescent="0.2">
      <c r="B135" s="8"/>
      <c r="C135" s="11" t="s">
        <v>82</v>
      </c>
      <c r="D135" s="9" t="s">
        <v>83</v>
      </c>
      <c r="H135" s="6"/>
      <c r="I135" s="7"/>
    </row>
    <row r="136" spans="2:9" x14ac:dyDescent="0.2">
      <c r="B136" s="10">
        <v>2008</v>
      </c>
      <c r="C136" s="7">
        <v>71.740857299243771</v>
      </c>
      <c r="D136" s="9"/>
      <c r="H136" s="6"/>
      <c r="I136" s="7"/>
    </row>
    <row r="137" spans="2:9" x14ac:dyDescent="0.2">
      <c r="B137" s="10">
        <v>2009</v>
      </c>
      <c r="C137" s="7">
        <v>69.888415432558389</v>
      </c>
      <c r="D137" s="9">
        <f>LN(C137/C136)</f>
        <v>-2.6160517193397299E-2</v>
      </c>
      <c r="H137" s="6"/>
      <c r="I137" s="7"/>
    </row>
    <row r="138" spans="2:9" x14ac:dyDescent="0.2">
      <c r="B138" s="10">
        <v>2010</v>
      </c>
      <c r="C138" s="7">
        <v>62.93535169148111</v>
      </c>
      <c r="D138" s="9">
        <f t="shared" ref="D138:D150" si="10">LN(C138/C137)</f>
        <v>-0.10479186902848212</v>
      </c>
      <c r="H138" s="6"/>
      <c r="I138" s="7"/>
    </row>
    <row r="139" spans="2:9" x14ac:dyDescent="0.2">
      <c r="B139" s="10">
        <v>2011</v>
      </c>
      <c r="C139" s="7">
        <v>66.433836808366976</v>
      </c>
      <c r="D139" s="9">
        <f t="shared" si="10"/>
        <v>5.4098481274815029E-2</v>
      </c>
      <c r="H139" s="6"/>
      <c r="I139" s="7"/>
    </row>
    <row r="140" spans="2:9" x14ac:dyDescent="0.2">
      <c r="B140" s="10">
        <v>2012</v>
      </c>
      <c r="C140" s="7">
        <v>45.124106043118374</v>
      </c>
      <c r="D140" s="9">
        <f t="shared" si="10"/>
        <v>-0.38678991139471014</v>
      </c>
      <c r="H140" s="6"/>
      <c r="I140" s="7"/>
    </row>
    <row r="141" spans="2:9" x14ac:dyDescent="0.2">
      <c r="B141" s="10">
        <v>2013</v>
      </c>
      <c r="C141" s="7">
        <v>63.346117847874872</v>
      </c>
      <c r="D141" s="9">
        <f t="shared" si="10"/>
        <v>0.33919701809916086</v>
      </c>
      <c r="H141" s="6"/>
      <c r="I141" s="7"/>
    </row>
    <row r="142" spans="2:9" x14ac:dyDescent="0.2">
      <c r="B142" s="10">
        <v>2014</v>
      </c>
      <c r="C142" s="7">
        <v>35.287203699362649</v>
      </c>
      <c r="D142" s="9">
        <f t="shared" si="10"/>
        <v>-0.58509322709191702</v>
      </c>
      <c r="H142" s="6"/>
      <c r="I142" s="7"/>
    </row>
    <row r="143" spans="2:9" x14ac:dyDescent="0.2">
      <c r="B143" s="10">
        <v>2015</v>
      </c>
      <c r="C143" s="7">
        <v>25.69618952009867</v>
      </c>
      <c r="D143" s="9">
        <f t="shared" si="10"/>
        <v>-0.31717768357724624</v>
      </c>
      <c r="H143" s="6"/>
      <c r="I143" s="7"/>
    </row>
    <row r="144" spans="2:9" x14ac:dyDescent="0.2">
      <c r="B144" s="10">
        <v>2016</v>
      </c>
      <c r="C144" s="7">
        <v>31.300854676277297</v>
      </c>
      <c r="D144" s="9">
        <f t="shared" si="10"/>
        <v>0.19730268991666705</v>
      </c>
      <c r="H144" s="6"/>
      <c r="I144" s="7"/>
    </row>
    <row r="145" spans="2:9" x14ac:dyDescent="0.2">
      <c r="B145" s="10">
        <v>2017</v>
      </c>
      <c r="C145" s="7">
        <v>24.553162386815192</v>
      </c>
      <c r="D145" s="9">
        <f t="shared" si="10"/>
        <v>-0.24280474305306415</v>
      </c>
      <c r="H145" s="6"/>
      <c r="I145" s="7"/>
    </row>
    <row r="146" spans="2:9" x14ac:dyDescent="0.2">
      <c r="B146" s="10">
        <v>2018</v>
      </c>
      <c r="C146" s="7">
        <v>21.272921972468328</v>
      </c>
      <c r="D146" s="9">
        <f t="shared" si="10"/>
        <v>-0.14340566500221763</v>
      </c>
      <c r="H146" s="6"/>
      <c r="I146" s="7"/>
    </row>
    <row r="147" spans="2:9" x14ac:dyDescent="0.2">
      <c r="B147" s="10">
        <v>2019</v>
      </c>
      <c r="C147" s="7">
        <v>18.366067363877619</v>
      </c>
      <c r="D147" s="9">
        <f t="shared" si="10"/>
        <v>-0.14693019802690385</v>
      </c>
      <c r="H147" s="6"/>
      <c r="I147" s="7"/>
    </row>
    <row r="148" spans="2:9" x14ac:dyDescent="0.2">
      <c r="B148" s="10">
        <v>2020</v>
      </c>
      <c r="C148" s="7">
        <v>20.000293309725464</v>
      </c>
      <c r="D148" s="9">
        <f t="shared" si="10"/>
        <v>8.5242141890254391E-2</v>
      </c>
      <c r="H148" s="6"/>
      <c r="I148" s="7"/>
    </row>
    <row r="149" spans="2:9" x14ac:dyDescent="0.2">
      <c r="B149" s="10">
        <v>2021</v>
      </c>
      <c r="C149" s="7">
        <v>16.160397699393901</v>
      </c>
      <c r="D149" s="9">
        <f t="shared" si="10"/>
        <v>-0.21318327603159284</v>
      </c>
      <c r="H149" s="6"/>
      <c r="I149" s="7"/>
    </row>
    <row r="150" spans="2:9" x14ac:dyDescent="0.2">
      <c r="B150" s="10">
        <v>2022</v>
      </c>
      <c r="C150" s="7">
        <v>15.847940714652479</v>
      </c>
      <c r="D150" s="9">
        <f t="shared" si="10"/>
        <v>-1.9524094384390369E-2</v>
      </c>
    </row>
    <row r="151" spans="2:9" x14ac:dyDescent="0.2">
      <c r="C151">
        <f>C150*$F$154</f>
        <v>14.227560105927731</v>
      </c>
    </row>
    <row r="152" spans="2:9" x14ac:dyDescent="0.2">
      <c r="C152">
        <f t="shared" ref="C152:C158" si="11">C151*$F$154</f>
        <v>12.772856121340251</v>
      </c>
    </row>
    <row r="153" spans="2:9" x14ac:dyDescent="0.2">
      <c r="C153">
        <f t="shared" si="11"/>
        <v>11.466889071759146</v>
      </c>
      <c r="F153">
        <f>AVERAGE(D137:D150)</f>
        <v>-0.10785863240021601</v>
      </c>
    </row>
    <row r="154" spans="2:9" x14ac:dyDescent="0.2">
      <c r="C154">
        <f t="shared" si="11"/>
        <v>10.294451275024008</v>
      </c>
      <c r="F154">
        <f>EXP(F153)</f>
        <v>0.89775450085911801</v>
      </c>
    </row>
    <row r="155" spans="2:9" x14ac:dyDescent="0.2">
      <c r="C155">
        <f t="shared" si="11"/>
        <v>9.2418899660276885</v>
      </c>
    </row>
    <row r="156" spans="2:9" x14ac:dyDescent="0.2">
      <c r="C156">
        <f t="shared" si="11"/>
        <v>8.2969483134460784</v>
      </c>
    </row>
    <row r="157" spans="2:9" x14ac:dyDescent="0.2">
      <c r="C157">
        <f t="shared" si="11"/>
        <v>7.4486226917916856</v>
      </c>
    </row>
    <row r="158" spans="2:9" x14ac:dyDescent="0.2">
      <c r="C158">
        <f t="shared" si="11"/>
        <v>6.6870345467573449</v>
      </c>
    </row>
  </sheetData>
  <mergeCells count="7">
    <mergeCell ref="I113:K113"/>
    <mergeCell ref="I114:K114"/>
    <mergeCell ref="B134:D134"/>
    <mergeCell ref="D84:G84"/>
    <mergeCell ref="B112:E112"/>
    <mergeCell ref="B120:C120"/>
    <mergeCell ref="B125:C12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B165-A228-534D-890C-7BD6A0C7E246}">
  <dimension ref="A1:J27"/>
  <sheetViews>
    <sheetView zoomScale="82" workbookViewId="0">
      <selection activeCell="H32" sqref="H32"/>
    </sheetView>
  </sheetViews>
  <sheetFormatPr baseColWidth="10" defaultRowHeight="16" x14ac:dyDescent="0.2"/>
  <cols>
    <col min="2" max="2" width="28.5" bestFit="1" customWidth="1"/>
    <col min="5" max="5" width="17.1640625" bestFit="1" customWidth="1"/>
    <col min="10" max="10" width="28.5" bestFit="1" customWidth="1"/>
  </cols>
  <sheetData>
    <row r="1" spans="1:10" x14ac:dyDescent="0.2">
      <c r="A1" t="s">
        <v>96</v>
      </c>
      <c r="B1" t="s">
        <v>95</v>
      </c>
      <c r="H1" t="s">
        <v>101</v>
      </c>
      <c r="I1" t="s">
        <v>96</v>
      </c>
      <c r="J1" t="s">
        <v>95</v>
      </c>
    </row>
    <row r="2" spans="1:10" x14ac:dyDescent="0.2">
      <c r="A2">
        <v>2005</v>
      </c>
      <c r="B2">
        <v>2084.37</v>
      </c>
      <c r="I2">
        <v>2005</v>
      </c>
      <c r="J2">
        <v>2084.37</v>
      </c>
    </row>
    <row r="3" spans="1:10" x14ac:dyDescent="0.2">
      <c r="A3">
        <v>2006</v>
      </c>
      <c r="B3">
        <v>2126.31</v>
      </c>
      <c r="C3">
        <f>-LN(B3/B2)</f>
        <v>-1.9921431706305313E-2</v>
      </c>
      <c r="I3">
        <v>2006</v>
      </c>
      <c r="J3">
        <v>2126.31</v>
      </c>
    </row>
    <row r="4" spans="1:10" x14ac:dyDescent="0.2">
      <c r="A4">
        <v>2007</v>
      </c>
      <c r="B4">
        <v>2137.58</v>
      </c>
      <c r="C4">
        <f t="shared" ref="C4:C19" si="0">-LN(B4/B3)</f>
        <v>-5.2862650043141654E-3</v>
      </c>
      <c r="I4">
        <v>2007</v>
      </c>
      <c r="J4">
        <v>2137.58</v>
      </c>
    </row>
    <row r="5" spans="1:10" x14ac:dyDescent="0.2">
      <c r="A5">
        <v>2008</v>
      </c>
      <c r="B5">
        <v>2260.12</v>
      </c>
      <c r="C5">
        <f t="shared" si="0"/>
        <v>-5.5743561190718972E-2</v>
      </c>
      <c r="I5">
        <v>2008</v>
      </c>
      <c r="J5">
        <v>2260.12</v>
      </c>
    </row>
    <row r="6" spans="1:10" x14ac:dyDescent="0.2">
      <c r="A6">
        <v>2009</v>
      </c>
      <c r="B6">
        <v>2299.9899999999998</v>
      </c>
      <c r="C6">
        <f t="shared" si="0"/>
        <v>-1.748686587985197E-2</v>
      </c>
      <c r="I6">
        <v>2009</v>
      </c>
      <c r="J6">
        <v>2299.9899999999998</v>
      </c>
    </row>
    <row r="7" spans="1:10" x14ac:dyDescent="0.2">
      <c r="A7">
        <v>2010</v>
      </c>
      <c r="B7">
        <v>2173.08</v>
      </c>
      <c r="C7">
        <f t="shared" si="0"/>
        <v>5.6759259040450892E-2</v>
      </c>
      <c r="I7">
        <v>2010</v>
      </c>
      <c r="J7">
        <v>2173.08</v>
      </c>
    </row>
    <row r="8" spans="1:10" x14ac:dyDescent="0.2">
      <c r="A8">
        <v>2011</v>
      </c>
      <c r="B8">
        <v>2148.79</v>
      </c>
      <c r="C8">
        <f t="shared" si="0"/>
        <v>1.124062304334523E-2</v>
      </c>
      <c r="I8">
        <v>2011</v>
      </c>
      <c r="J8">
        <v>2148.79</v>
      </c>
    </row>
    <row r="9" spans="1:10" x14ac:dyDescent="0.2">
      <c r="A9">
        <v>2012</v>
      </c>
      <c r="B9">
        <v>2212.5500000000002</v>
      </c>
      <c r="C9">
        <f t="shared" si="0"/>
        <v>-2.9240803498884586E-2</v>
      </c>
      <c r="I9">
        <v>2012</v>
      </c>
      <c r="J9">
        <v>2212.5500000000002</v>
      </c>
    </row>
    <row r="10" spans="1:10" x14ac:dyDescent="0.2">
      <c r="A10">
        <v>2013</v>
      </c>
      <c r="B10">
        <v>2042.08</v>
      </c>
      <c r="C10">
        <f t="shared" si="0"/>
        <v>8.0176800262409961E-2</v>
      </c>
      <c r="I10">
        <v>2013</v>
      </c>
      <c r="J10">
        <v>2042.08</v>
      </c>
    </row>
    <row r="11" spans="1:10" x14ac:dyDescent="0.2">
      <c r="A11">
        <v>2014</v>
      </c>
      <c r="B11">
        <v>1995.33</v>
      </c>
      <c r="C11">
        <f t="shared" si="0"/>
        <v>2.3159446055892263E-2</v>
      </c>
      <c r="I11">
        <v>2014</v>
      </c>
      <c r="J11">
        <v>1995.33</v>
      </c>
    </row>
    <row r="12" spans="1:10" x14ac:dyDescent="0.2">
      <c r="A12">
        <v>2015</v>
      </c>
      <c r="B12">
        <v>1839.57</v>
      </c>
      <c r="C12">
        <f t="shared" si="0"/>
        <v>8.1277601538714855E-2</v>
      </c>
      <c r="I12">
        <v>2015</v>
      </c>
      <c r="J12">
        <v>1839.57</v>
      </c>
    </row>
    <row r="13" spans="1:10" x14ac:dyDescent="0.2">
      <c r="A13">
        <v>2016</v>
      </c>
      <c r="B13">
        <v>1828.81</v>
      </c>
      <c r="C13">
        <f t="shared" si="0"/>
        <v>5.8663665476852995E-3</v>
      </c>
      <c r="I13">
        <v>2016</v>
      </c>
      <c r="J13">
        <v>1828.81</v>
      </c>
    </row>
    <row r="14" spans="1:10" x14ac:dyDescent="0.2">
      <c r="A14">
        <v>2017</v>
      </c>
      <c r="B14">
        <v>1825.41</v>
      </c>
      <c r="C14">
        <f t="shared" si="0"/>
        <v>1.8608627729744384E-3</v>
      </c>
      <c r="I14">
        <v>2017</v>
      </c>
      <c r="J14">
        <v>1825.41</v>
      </c>
    </row>
    <row r="15" spans="1:10" x14ac:dyDescent="0.2">
      <c r="A15">
        <v>2018</v>
      </c>
      <c r="B15">
        <v>1740.75</v>
      </c>
      <c r="C15">
        <f t="shared" si="0"/>
        <v>4.748856449645749E-2</v>
      </c>
      <c r="I15">
        <v>2018</v>
      </c>
      <c r="J15">
        <v>1740.75</v>
      </c>
    </row>
    <row r="16" spans="1:10" x14ac:dyDescent="0.2">
      <c r="A16">
        <v>2019</v>
      </c>
      <c r="B16">
        <v>1653.1</v>
      </c>
      <c r="C16">
        <f t="shared" si="0"/>
        <v>5.1663741763689756E-2</v>
      </c>
      <c r="I16">
        <v>2019</v>
      </c>
      <c r="J16">
        <v>1653.1</v>
      </c>
    </row>
    <row r="17" spans="1:10" x14ac:dyDescent="0.2">
      <c r="A17">
        <v>2020</v>
      </c>
      <c r="B17">
        <v>1496.35</v>
      </c>
      <c r="C17">
        <f t="shared" si="0"/>
        <v>9.9623503669014887E-2</v>
      </c>
      <c r="I17">
        <v>2020</v>
      </c>
      <c r="J17">
        <v>1496.35</v>
      </c>
    </row>
    <row r="18" spans="1:10" x14ac:dyDescent="0.2">
      <c r="A18">
        <v>2021</v>
      </c>
      <c r="B18">
        <v>1418.18</v>
      </c>
      <c r="C18">
        <f t="shared" si="0"/>
        <v>5.3654450002797408E-2</v>
      </c>
      <c r="I18">
        <v>2021</v>
      </c>
      <c r="J18">
        <v>1418.18</v>
      </c>
    </row>
    <row r="19" spans="1:10" x14ac:dyDescent="0.2">
      <c r="A19">
        <v>2022</v>
      </c>
      <c r="B19">
        <v>1274.19</v>
      </c>
      <c r="C19">
        <f t="shared" si="0"/>
        <v>0.10706367679709121</v>
      </c>
      <c r="E19" t="s">
        <v>97</v>
      </c>
      <c r="F19">
        <f>AVERAGE(C:C)</f>
        <v>2.895035110061463E-2</v>
      </c>
      <c r="I19">
        <v>2022</v>
      </c>
      <c r="J19">
        <v>1274.19</v>
      </c>
    </row>
    <row r="20" spans="1:10" x14ac:dyDescent="0.2">
      <c r="E20" t="s">
        <v>98</v>
      </c>
      <c r="F20">
        <f>EXP(-F19)</f>
        <v>0.97146469542220748</v>
      </c>
      <c r="I20">
        <v>2023</v>
      </c>
      <c r="J20">
        <f>$F$26*J19</f>
        <v>1223.0826720057416</v>
      </c>
    </row>
    <row r="21" spans="1:10" x14ac:dyDescent="0.2">
      <c r="E21" t="s">
        <v>99</v>
      </c>
      <c r="F21">
        <f>F20^5</f>
        <v>0.86523705679057306</v>
      </c>
      <c r="I21">
        <v>2024</v>
      </c>
      <c r="J21">
        <f t="shared" ref="J21:J27" si="1">$F$26*J20</f>
        <v>1174.0252415736306</v>
      </c>
    </row>
    <row r="22" spans="1:10" x14ac:dyDescent="0.2">
      <c r="I22">
        <v>2025</v>
      </c>
      <c r="J22">
        <f t="shared" si="1"/>
        <v>1126.9354880089018</v>
      </c>
    </row>
    <row r="23" spans="1:10" x14ac:dyDescent="0.2">
      <c r="I23">
        <v>2026</v>
      </c>
      <c r="J23">
        <f t="shared" si="1"/>
        <v>1081.7344884609217</v>
      </c>
    </row>
    <row r="24" spans="1:10" x14ac:dyDescent="0.2">
      <c r="I24">
        <v>2027</v>
      </c>
      <c r="J24">
        <f t="shared" si="1"/>
        <v>1038.3464856477826</v>
      </c>
    </row>
    <row r="25" spans="1:10" x14ac:dyDescent="0.2">
      <c r="E25" t="s">
        <v>100</v>
      </c>
      <c r="F25">
        <f>AVERAGE(C6:C19)</f>
        <v>4.0936230472270511E-2</v>
      </c>
      <c r="I25">
        <v>2028</v>
      </c>
      <c r="J25">
        <f t="shared" si="1"/>
        <v>996.69876088641524</v>
      </c>
    </row>
    <row r="26" spans="1:10" x14ac:dyDescent="0.2">
      <c r="E26" t="s">
        <v>98</v>
      </c>
      <c r="F26">
        <f>EXP(-F25)</f>
        <v>0.95989033974975602</v>
      </c>
      <c r="I26">
        <v>2029</v>
      </c>
      <c r="J26">
        <f t="shared" si="1"/>
        <v>956.72151221542197</v>
      </c>
    </row>
    <row r="27" spans="1:10" x14ac:dyDescent="0.2">
      <c r="E27" t="s">
        <v>99</v>
      </c>
      <c r="F27">
        <f>F26^5</f>
        <v>0.81490710619906181</v>
      </c>
      <c r="I27">
        <v>2030</v>
      </c>
      <c r="J27">
        <f t="shared" si="1"/>
        <v>918.34773740636172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Initial values</vt:lpstr>
      <vt:lpstr>Initial values seasonal</vt:lpstr>
      <vt:lpstr>Advancements1</vt:lpstr>
      <vt:lpstr>Extras1</vt:lpstr>
      <vt:lpstr>Extras2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Emir Şener</dc:creator>
  <cp:lastModifiedBy>Ahmet Emir Şener</cp:lastModifiedBy>
  <dcterms:created xsi:type="dcterms:W3CDTF">2024-07-31T20:05:29Z</dcterms:created>
  <dcterms:modified xsi:type="dcterms:W3CDTF">2025-01-20T20:30:08Z</dcterms:modified>
</cp:coreProperties>
</file>