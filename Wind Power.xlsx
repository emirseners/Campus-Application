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electricity application/"/>
    </mc:Choice>
  </mc:AlternateContent>
  <xr:revisionPtr revIDLastSave="0" documentId="13_ncr:1_{1E3CBFD2-5FD0-AB4B-A1BA-F9DECC022EDB}" xr6:coauthVersionLast="47" xr6:coauthVersionMax="47" xr10:uidLastSave="{00000000-0000-0000-0000-000000000000}"/>
  <bookViews>
    <workbookView xWindow="0" yWindow="500" windowWidth="28800" windowHeight="15940" xr2:uid="{EDF38AB8-B67A-6545-84A8-C231FAB8949A}"/>
  </bookViews>
  <sheets>
    <sheet name="Initial values" sheetId="5" r:id="rId1"/>
    <sheet name="Initial values season" sheetId="1" r:id="rId2"/>
    <sheet name="Advancements1" sheetId="2" r:id="rId3"/>
    <sheet name="Extras1" sheetId="4" r:id="rId4"/>
    <sheet name="Extras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J21" i="6"/>
  <c r="J22" i="6" s="1"/>
  <c r="J23" i="6" s="1"/>
  <c r="J24" i="6" s="1"/>
  <c r="J25" i="6" s="1"/>
  <c r="J26" i="6" s="1"/>
  <c r="J27" i="6" s="1"/>
  <c r="J20" i="6"/>
  <c r="F27" i="6"/>
  <c r="F26" i="6"/>
  <c r="F25" i="6"/>
  <c r="F21" i="6"/>
  <c r="F20" i="6"/>
  <c r="F19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3" i="6"/>
  <c r="I11" i="5" l="1"/>
  <c r="C11" i="5"/>
  <c r="D11" i="5"/>
  <c r="E11" i="5"/>
  <c r="F11" i="5"/>
  <c r="G11" i="5"/>
  <c r="H11" i="5"/>
  <c r="B11" i="5"/>
  <c r="I12" i="5"/>
  <c r="H12" i="5"/>
  <c r="G12" i="5"/>
  <c r="F12" i="5"/>
  <c r="E12" i="5"/>
  <c r="D12" i="5"/>
  <c r="C12" i="5"/>
  <c r="B12" i="5"/>
  <c r="F123" i="4"/>
  <c r="F122" i="4"/>
  <c r="I13" i="1"/>
  <c r="C13" i="1"/>
  <c r="D13" i="1"/>
  <c r="E13" i="1"/>
  <c r="F13" i="1"/>
  <c r="G13" i="1"/>
  <c r="H13" i="1"/>
  <c r="B13" i="1"/>
  <c r="H120" i="4"/>
  <c r="H119" i="4"/>
  <c r="G118" i="4"/>
  <c r="G119" i="4"/>
  <c r="G120" i="4" s="1"/>
  <c r="C151" i="4"/>
  <c r="A93" i="4"/>
  <c r="A86" i="4"/>
  <c r="A92" i="4"/>
  <c r="A91" i="4"/>
  <c r="A90" i="4"/>
  <c r="A89" i="4"/>
  <c r="A88" i="4"/>
  <c r="A87" i="4"/>
  <c r="C117" i="4"/>
  <c r="C116" i="4"/>
  <c r="L93" i="4"/>
  <c r="L92" i="4"/>
  <c r="L91" i="4"/>
  <c r="H92" i="4"/>
  <c r="H93" i="4"/>
  <c r="G93" i="4"/>
  <c r="F93" i="4"/>
  <c r="E93" i="4"/>
  <c r="D93" i="4"/>
  <c r="G92" i="4"/>
  <c r="F92" i="4"/>
  <c r="E92" i="4"/>
  <c r="D92" i="4"/>
  <c r="D91" i="4"/>
  <c r="D138" i="4" l="1"/>
  <c r="D139" i="4"/>
  <c r="D140" i="4"/>
  <c r="D141" i="4"/>
  <c r="D142" i="4"/>
  <c r="D143" i="4"/>
  <c r="D144" i="4"/>
  <c r="D145" i="4"/>
  <c r="D146" i="4"/>
  <c r="D147" i="4"/>
  <c r="D148" i="4"/>
  <c r="D149" i="4"/>
  <c r="D150" i="4"/>
  <c r="D137" i="4"/>
  <c r="C123" i="4"/>
  <c r="C128" i="4"/>
  <c r="F153" i="4" l="1"/>
  <c r="F154" i="4" s="1"/>
  <c r="C152" i="4" s="1"/>
  <c r="L89" i="4" s="1"/>
  <c r="C115" i="4"/>
  <c r="L87" i="4" l="1"/>
  <c r="L86" i="4"/>
  <c r="L90" i="4"/>
  <c r="C153" i="4"/>
  <c r="C154" i="4" s="1"/>
  <c r="C155" i="4" s="1"/>
  <c r="C156" i="4" s="1"/>
  <c r="C157" i="4" s="1"/>
  <c r="C158" i="4" s="1"/>
  <c r="L88" i="4"/>
  <c r="G91" i="4" l="1"/>
  <c r="G103" i="4" s="1"/>
  <c r="F91" i="4"/>
  <c r="F103" i="4" s="1"/>
  <c r="E91" i="4"/>
  <c r="E103" i="4" s="1"/>
  <c r="G90" i="4"/>
  <c r="G102" i="4" s="1"/>
  <c r="F90" i="4"/>
  <c r="F102" i="4" s="1"/>
  <c r="E90" i="4"/>
  <c r="E102" i="4" s="1"/>
  <c r="D90" i="4"/>
  <c r="G89" i="4"/>
  <c r="G101" i="4" s="1"/>
  <c r="F89" i="4"/>
  <c r="F101" i="4" s="1"/>
  <c r="E89" i="4"/>
  <c r="E101" i="4" s="1"/>
  <c r="D89" i="4"/>
  <c r="G88" i="4"/>
  <c r="G100" i="4" s="1"/>
  <c r="F88" i="4"/>
  <c r="F100" i="4" s="1"/>
  <c r="E88" i="4"/>
  <c r="E100" i="4" s="1"/>
  <c r="D88" i="4"/>
  <c r="D87" i="4"/>
  <c r="D99" i="4" s="1"/>
  <c r="G87" i="4"/>
  <c r="G99" i="4" s="1"/>
  <c r="F87" i="4"/>
  <c r="F99" i="4" s="1"/>
  <c r="E87" i="4"/>
  <c r="E99" i="4" s="1"/>
  <c r="D86" i="4"/>
  <c r="D98" i="4" s="1"/>
  <c r="G86" i="4"/>
  <c r="G98" i="4" s="1"/>
  <c r="F86" i="4"/>
  <c r="F98" i="4" s="1"/>
  <c r="E86" i="4"/>
  <c r="E98" i="4" s="1"/>
  <c r="H88" i="4" l="1"/>
  <c r="H91" i="4"/>
  <c r="H89" i="4"/>
  <c r="H90" i="4"/>
  <c r="D103" i="4"/>
  <c r="D102" i="4"/>
  <c r="D101" i="4"/>
  <c r="D100" i="4"/>
  <c r="H86" i="4"/>
  <c r="H87" i="4"/>
  <c r="B6" i="2"/>
</calcChain>
</file>

<file path=xl/sharedStrings.xml><?xml version="1.0" encoding="utf-8"?>
<sst xmlns="http://schemas.openxmlformats.org/spreadsheetml/2006/main" count="281" uniqueCount="111">
  <si>
    <t>Metrics</t>
  </si>
  <si>
    <t>Initial Cost</t>
  </si>
  <si>
    <t>Initial Efficiency</t>
  </si>
  <si>
    <t>Initial Emission</t>
  </si>
  <si>
    <t>Periodic Electricity Production</t>
  </si>
  <si>
    <t>Periodic Thermal Production</t>
  </si>
  <si>
    <t>Probabilities</t>
  </si>
  <si>
    <t>Cost Multiplier</t>
  </si>
  <si>
    <t>Efficiency Multiplier</t>
  </si>
  <si>
    <t>Emission Multiplier</t>
  </si>
  <si>
    <t>Cost Ratio</t>
  </si>
  <si>
    <t>Efficiency Ratio</t>
  </si>
  <si>
    <t>Scenario1</t>
  </si>
  <si>
    <t>0,0,0,0</t>
  </si>
  <si>
    <t>Lifetime</t>
  </si>
  <si>
    <t>Clean</t>
  </si>
  <si>
    <t>Segment</t>
  </si>
  <si>
    <t>Degradation rate</t>
  </si>
  <si>
    <t>Initial O&amp;M cost</t>
  </si>
  <si>
    <t>O&amp;M cost change by age</t>
  </si>
  <si>
    <t>Depreciation rate</t>
  </si>
  <si>
    <t>Initial tech salvage value</t>
  </si>
  <si>
    <t>Initial Amount</t>
  </si>
  <si>
    <t>Enercon E-44</t>
  </si>
  <si>
    <t>Model</t>
  </si>
  <si>
    <t>Rated Power</t>
  </si>
  <si>
    <t>Rated Power (kw)</t>
  </si>
  <si>
    <t>Rotor Diameter (m)</t>
  </si>
  <si>
    <t>Cut-in wind speed (m/s)</t>
  </si>
  <si>
    <t>Rated wind speed (m/s)</t>
  </si>
  <si>
    <t>Cut-out wind speed (m/s)</t>
  </si>
  <si>
    <t>Hub height (m)</t>
  </si>
  <si>
    <t>45/55</t>
  </si>
  <si>
    <t>Defined hub height (m)</t>
  </si>
  <si>
    <t>Simulation outputs</t>
  </si>
  <si>
    <t>jan</t>
  </si>
  <si>
    <t>feb</t>
  </si>
  <si>
    <t>april</t>
  </si>
  <si>
    <t>march</t>
  </si>
  <si>
    <t>Enercon E-82</t>
  </si>
  <si>
    <t>78/85/98/108/138</t>
  </si>
  <si>
    <t>Enercon E-70</t>
  </si>
  <si>
    <t>58/64/70/85/98/99/113</t>
  </si>
  <si>
    <t>Vestas V90</t>
  </si>
  <si>
    <t>65-105</t>
  </si>
  <si>
    <t>Vestas V82</t>
  </si>
  <si>
    <t>59-108</t>
  </si>
  <si>
    <t>Vestas V52</t>
  </si>
  <si>
    <t>36.5/40/44/49/55/60/65/70/74/86 </t>
  </si>
  <si>
    <t>Q1</t>
  </si>
  <si>
    <t>Q2</t>
  </si>
  <si>
    <t>Q3</t>
  </si>
  <si>
    <t>Q4</t>
  </si>
  <si>
    <t>Seasonal Output kWh</t>
  </si>
  <si>
    <t>Version1</t>
  </si>
  <si>
    <t>Version2</t>
  </si>
  <si>
    <t>Version3</t>
  </si>
  <si>
    <t>Version4</t>
  </si>
  <si>
    <t>Version5</t>
  </si>
  <si>
    <t>Version6</t>
  </si>
  <si>
    <t>24MW</t>
  </si>
  <si>
    <t>1MW</t>
  </si>
  <si>
    <t>Vestas average turbine selling price in 2023</t>
  </si>
  <si>
    <t>2022USD/MW</t>
  </si>
  <si>
    <t>Chinese turbine price in 2022</t>
  </si>
  <si>
    <t>2024USD/MW</t>
  </si>
  <si>
    <t>135756.625,101216.975,101966.325,81962.125</t>
  </si>
  <si>
    <t>603989.25,461937.925,483683.25,364889.025</t>
  </si>
  <si>
    <t>472581.25,354581.45,362762.25,282265.575</t>
  </si>
  <si>
    <t>607253.75,453880.025,468407,360940.55</t>
  </si>
  <si>
    <t>641216,507398.45,565767,403365.8</t>
  </si>
  <si>
    <t>113092,80781.35,82349.65,63238.25</t>
  </si>
  <si>
    <t>türbin giderleri $</t>
  </si>
  <si>
    <t>inşaat + genel idari giderler $</t>
  </si>
  <si>
    <t>şalt tesisi yapım işleri</t>
  </si>
  <si>
    <t>enerji nakil hattı yapım işleri $</t>
  </si>
  <si>
    <t>Shear coef:</t>
  </si>
  <si>
    <t>Prices 2024 USD</t>
  </si>
  <si>
    <t>O&amp;M Cost 2024 USD</t>
  </si>
  <si>
    <t>Cumulative rate of inflation from 2022 to 2024</t>
  </si>
  <si>
    <t>Rated Power kW</t>
  </si>
  <si>
    <t>O&amp;M costs (2022  USD/kW/year) IRENA</t>
  </si>
  <si>
    <t>Initial Full-Service Contracts</t>
  </si>
  <si>
    <t>Ln Ratio</t>
  </si>
  <si>
    <t>2024 6MW 4 turbine Goldwind 165 m rotor diameter 100 m hub height project budget in 2024USD</t>
  </si>
  <si>
    <t>Siemens 3.6MW</t>
  </si>
  <si>
    <t>Siemens G128</t>
  </si>
  <si>
    <t>81/120/140</t>
  </si>
  <si>
    <t>Version7</t>
  </si>
  <si>
    <t>Version8</t>
  </si>
  <si>
    <t>898944.25,688793.5,719432.75,549341.25</t>
  </si>
  <si>
    <t>1633809.25,1277711.5,1373549,1016046.5</t>
  </si>
  <si>
    <t>All in</t>
  </si>
  <si>
    <t>Turbine + installation</t>
  </si>
  <si>
    <t>O&amp;M cost change by year</t>
  </si>
  <si>
    <t>0.867898,0.777286,0.502626,0.250854,0.262298,0.491181,0.5802,0.725181,3.13883,10.2397,14.5062,13.8702,9.63012,8.76798,11.5383,14.2595,16.145,16.8391,15.7612,13.7402,11.8539,12.3929,14.2792,15.7422,20.4651,28.65,34.793,30.6905,26.2611,31.5518,30.6672,50.0109,93.0619,149.991,208.669,247.516,233.502,169.953,130.82,107.915,54.2586,22.2331,11.201,5.56204,3.33757,1.08748,0.983903,2.37097,4.16808,5.68423,5.83238,5.18136,4.97222,5.40647,8.98844,11.1866,13.7696,14.8699,16.5312,17.7005,16.6271,11.1053,7.18965,9.65737,15.8875,20.9728,27.4715,29.1041,28.8708,22.7303,17.4163,12.6832,8.909,7.03915,9.0619,12.7272,17.7443,26.9724,19.1196,25.0039,43.9194,53.6592,53.1102,47.743,31.749,19.7567,12.8702,9.64074,9.38558,8.71256,8.05769,13.6168,22.2471,25.8047,22.8071,19.2466,17.1102,14.0031,11.8417,13.7472,17.1585,19.9746,13.6051,7.569,40.5044,76.8916,89.2543,88.0017,67.3527,39.6295,43.14,77.2383,88.1048,74.7682,74.9038,88.2462,96.775,74.1129,55.1182,46.7904,39.3618,32.8449,28.001,32.425,33.3172,29.9913,19.5614,11.9867,36.2273,61.3357,67.5127,64.4545,51.5313,36.9081,36.1157,41.5251,43.6499,39.7132,30.9743,21.5091,15.8271,8.19451,2.92931,0.949685,1.08714,1.75952,1.14548,0.837748,0.884753,1.61107,2.18712,1.264,1.11656,1.86479,2.27488,1.9011,1.14245,0.714349,0.558144,1.06062,3.24943,5.0331,6.17214,7.59058,8.95674,10.1897,13.3201,17.6593,22.8502,30.2991,38.6182,40.0141,37.2223,34.9452,31.6401,26.4077,31.4412,29.6843,31.4755,29.2649,22.8257,16.8656,21.95,43.9335,81.9426,119.296,150.267,161.624,152.586,137.878,120.647,103.817,90.97,90.3863,83.0589,103.773,96.761,44.7043,23.7257,19.2279,35.3184,50.7665,43.5475,37.607,32.7396,15.9553,6.16624,6.44904,19.6921,67.2747,152.436,208.245,178.396,197.827,182.532,139.25,74.4625,72.0167,72.0167,64.0482,68.9416,70.3397,52.866,73.0064,105.576,93.5653,69.1397,45.8979,34.9877,17.8948,10.8707,19.6719,43.0904,77.9588,107.875,113.932,97.9202,89.1217,51.5362,40.907,42.996,41.7367,35.2432,36.6346,41.9686,46.4187,44.1367,56.3224,56.3224,42.6765,28.3914,14.401,8.34665,6.07697,15.3175,48.6137,101.145,119.68,110.9,115.778,90.4141,57.2323,44.638,59.8411,72.4457,76.9272,68.5269,51.3762,32.8067,15.6568,4.78227,2.83738,1.03039,2.70527,7.80386,19.4951,35.8197,63.1301,134.549,205.428,117.963,68.5628,60.6561,66.4424,68.754,65.7002,58.2993,57.6824,55.2824,62.3366,64.1762,70.9716,73.6049,72.6244,140.523,158.085,139.936,122.673,120.515,124.438,124.35,122.087,104.238,85.3811,59.2226,47.2233,40.3209,29.7536,19.8284,14.0959,12.4342,12.707,12.2762,8.17118,5.08694,3.12489,1.48984,0.933986,0.871882,0.0,0.0,0.0,0.983991,4.71481,10.5374,17.8576,33.6018,45.0135,46.0735,44.0453,43.1086,43.577,43.8112,41.7036,41.4694,41.001,38.1909,32.0596,23.3985,18.0888,17.9533,18.8586,42.1726,112.548,235.249,331.567,387.617,370.996,347.152,282.096,166.614,101.249,70.6327,48.7452,34.1681,28.7841,29.0593,26.2491,20.6714,16.0995,17.0914,20.2595,24.8797,25.8628,22.3847,19.5265,30.3138,112.909,144.198,141.684,132.662,126.106,112.527,85.8612,43.754,32.4753,29.9905,20.6939,13.5625,7.60466,5.03943,2.91703,1.33523,0.972948,0.648879,0.197496,0.0,0.10584,0.860505,1.95825,5.64508,18.1589,39.6223,43.3151,44.6607,47.3066,49.4163,39.6026,24.4412,24.4853,36.6474,63.4926,88.2091,102.361,108.021,118.546,124.121,148.344,174.958,158.99,150.616,101.756,63.2037,45.9376,48.668,98.8603,119.141,198.449,312.145,351.743,331.252,223.047,101.559,86.828,111.739,96.845,67.5768,61.3806,45.1075,25.286,15.9,20.0352,29.5349,24.6988,19.8912,17.0609,38.0317,118.919,164.906,236.192,286.55,345.548,395.817,412.315,404.117,336.173,185.279,108.153,73.8247,72.9631,67.0439,56.8121,50.7971,37.9346,34.1491,32.9283,40.0236,41.2061,36.2833,28.032,19.2192,14.2865,13.6082,16.5984,23.9119,28.6602,29.702,28.9196,27.2501,25.461,22.253,36.1409,58.5672,81.0683,95.6338,90.7617,78.9024,66.7912,54.3239,41.9471,34.6282,25.127,18.1007,21.3046,39.7003,47.0395,53.2063,67.1628,81.8966,141.62,237.914,255.156,228.287,222.967,298.389,361.59,389.846,399.008,418.707,339.068,351.421,264.357,181.12,159.349,141.736,119.047,129.609,96.8208,43.1706,16.935,4.68663,7.46797,5.58527,3.85609,5.25321,4.39344,2.29776,1.81997,1.99862,5.62193,30.3341,74.5595,82.492,83.3815,81.6976,100.044,95.1228,43.9471,45.3239,47.5602,46.2193,49.7554,63.8996,55.7667,54.3914,78.6677,208.515,348.803,398.087,350.911,252.51,157.695,121.253,126.126,126.425,117.792,101.714,99.3919,83.2496,69.7532,62.0867,51.9411,53.5256,49.3847,32.3798,25.5914,24.6899,19.3491,18.0112,13.4698,6.8723,3.43376,1.13138,1.16588,3.05433,5.45429,6.67461,6.20745,4.80236,2.84696,1.08519,0.636017,0.197585,0.0,0.0,0.0,0.0,0.608537,2.96413,7.79874,16.2844,20.8242,30.5483,33.5231,33.5891,24.5779,17.3625,15.8443,14.4735,12.9814,10.187,7.78536,12.5842,25.7958,33.4585,27.3783,31.4354,37.1635,42.1842,45.4202,48.6261,57.1101,77.2941,95.7895,95.5452,78.5583,63.9154,49.6555,62.0135,61.7701,49.6679,40.8318,42.2709,51.3476,45.1958,39.1309,39.3447,48.9176,50.9415,36.4486,19.306,11.9138,11.9339,13.0619,12.265,11.7392,12.5763,9.83178,6.95003,16.2814,13.5348,6.44432,14.408,24.349,33.5401,33.2333,30.1967,24.6688,17.0337,15.772,14.2061,8.93451,4.3718,1.16714,0.57837,0.0,0.0,0.0,0.0,0.0,0.0127455,0.175752,0.385473,0.721722,1.28465,5.27407,10.4031,13.8729,16.8123,18.6891,20.0424,24.5439,28.1246,33.4036,39.7667,41.1431,35.8316,28.3287,20.514,15.5489,14.1779,12.9584,9.11841,6.10396,5.00048,4.01434,3.68961,3.96362,3.54682,2.52972,2.06406,1.02923,0.588471,0.300492,0.151326,0.507031,1.14175,4.97628,8.07158,7.57654,5.30442,3.13143,1.55698,1.61894,3.32165,5.02606,5.8519,6.94106,12.1374,14.8723,13.2725,9.29062,5.10041,3.02501,9.86828,17.0353,21.6025,26.8611,28.0229,17.1637,14.8378,34.4154,64.5224,84.1008,78.2978,68.1155,49.1552,44.2918,52.0758,56.0623,49.9029,25.4209,16.5707,10.9108,5.66699,4.42375,2.41288,3.7824,6.40056,10.1311,11.0581,9.7143,8.23617,6.40383,5.32694,3.0868,0.968569,0.153305,0.0,0.0,0.78983,2.97726,6.08452,14.3502,22.9054,31.9047,36.8459,34.1638,26.3636,22.7673,22.549,22.2979,40.8616,54.495,81.5392,109.563,122.25,104.861,114.503,142.132,169.495,160.096,122.979,77.7488,65.0025,62.1299,69.5158,85.8202,102.009,116.02,134.281,176.897,195.648,184.542,166.792,162.456,177.437,234.598,284.703,276.655,277.484,294.442,319.627,372.3,401.759,402.283,397.922,391.774,370.065,325.972,330.776,313.349,297.972,271.719,250.981,222.778,182.427,132.374,88.5248,75.48,43.5455,40.8982,59.6385,60.2613,42.616,43.303,56.1163,63.3166,58.8369,52.9663,44.9674,35.4254,25.7255,30.8389,62.1556,101.032,124.019,133.604,174.282,157.969,125.77,95.8272,144.017,205.928,181.27,138.874,123.662,131.305,146.614,154.281,114.395,58.4378,23.7202,9.30809,4.79563,2.94495,1.48139,0.541516,0.0,0.0,0.0,0.0,0.0789543,0.333664,0.357586,0.622093,3.88975,5.31551,6.30922,7.03919,6.47491,6.46261,8.43074,9.01082,5.77136,5.5897,7.39529,12.0415,16.9595,19.9727,20.4008,17.2756,10.9217,5.22864,2.02113,0.633195,0.113554,0.0,0.0,0.0,0.0,0.289161,9.69084,18.8999,26.5071,30.1827,26.7027,17.1578,9.38555,9.20652,10.7215,14.5349,20.3873,29.5129,37.747,40.3235,38.9745,38.5058,39.2088,40.8492,39.2975,35.1553,30.5283,23.5134,10.6703,31.852,111.452,148.863,181.966,206.227,211.18,184.954,236.43,284.322,277.541,277.968,239.069,292.799,271.263,169.992,188.47,178.149,171.462,148.48,231.525,322.385,272.66,242.187,217.778,236.704,285.724,368.414,424.45,455.335,499.985,529.81,574.439,642.981,636.305,410.937,180.848,98.2307,27.1257,3.48194,5.85379,30.4946,58.2834,97.0922,173.025,266.292,274.208,345.455,436.793,566.136,552.631,519.539,468.823,437.874,415.7,345.806,259.247,245.333,245.898,246.284,237.083,219.191,231.334,239.71,252.275,216.257,117.085,82.0644,45.1002,32.2113,33.8908,43.9647,169.639,166.099,137.861,123.088,111.509,108.089,110.043,98.4149,61.0973,37.8675,29.2647,22.5079,17.9874,15.2682,11.8835,6.36509,3.1509,0.884533,0.122887,0.0,0.0,0.0,0.113055,0.734324,2.40755,3.35426,5.271,6.04796,5.91095,6.0012,6.21609,8.24831,12.8928,17.0973,19.1924,19.5175,18.7441,17.1451,14.9935,11.0639,7.39207,6.09182,5.65665,5.54785,5.54785,5.60707,5.82976,4.22279,1.02691,0.549151,1.15871,1.41841,1.50478,1.14699,1.13565,0.981591,1.01177,2.29121,4.7403,7.96801,13.6948,19.6913,28.7371,34.5867,38.5977,44.971,54.8617,66.5186,81.3549,103.901,122.131,131.147,215.994,239.451,195.637,136.083,92.1226,71.8052,65.8714,57.8031,52.3134,62.7116,76.9312,85.1478,85.1478,78.1581,62.9952,41.2406,24.6773,14.097,8.14153,6.34156,4.06766,1.36063,0.703726,0.357078,0.649862,0.347957,0.412673,2.04137,5.56545,7.51243,6.70972,5.42745,4.29776,2.8221,1.09768,0.526352,0.0,0.0,0.0,0.277703,0.921877,1.31279,1.26246,1.0043,0.902042,0.948935,1.13377,1.16393,2.30007,2.92137,2.52499,1.59447,1.13129,1.20878,1.79911,2.02684,1.57591,1.04192,0.882653,0.998654,2.10627,4.49917,7.75566,12.6539,14.3038,14.3369,12.6116,8.15142,3.78911,0.744674,0.0302176,0.0,0.562944,0.889988,1.45104,3.04155,4.3675,4.89571,4.46685,4.53466,10.6222,21.7841,30.2894,36.8919,43.4981,48.9226,43.6895,31.3163,17.9134,10.5818,6.44592,5.35517,4.09955,2.95999,3.01425,2.44618,4.7312,6.02183,8.67797,13.6743,15.0752,13.8417,10.7705,7.35033,9.40441,17.2307,29.4755,38.6187,40.2506,34.6555,26.2961,18.2964,16.113,17.7324,18.6771,18.561,20.181,27.2184,32.525,26.9901,24.6852,104.178,198.006,204.228,196.841,161.204,86.4822,27.3804,18.6779,47.075,67.2143,63.2117,51.8215,49.1523,54.1704,37.1517,27.5792,40.4616,49.8229,56.5183,60.8629,57.8204,55.0773,41.6961,27.8843,7.67667,0.821048,0.0,0.0,0.136741,0.352344,0.422519,0.666503,0.911228,1.53209,4.13757,7.67682,14.895,20.7554,24.0728,21.9952,18.7671,15.6649,12.818,10.2423,7.53103,6.04169,4.32878,2.7358,8.15925,16.2168,19.049,23.1832,29.1247,28.2646,18.5489,18.4146,25.9334,45.8111,45.5542,31.2106,23.5662,15.9165,7.80435,4.47946,3.94089,4.10246,3.61775,4.16052,4.86749,5.02918,4.52265,3.2036,6.00727,15.5886,30.0784,43.0086,47.3945,44.8978,39.6727,25.7733,19.4665,20.4762,34.2675,60.8535,92.007,104.887,89.8825,62.2187,34.0331,16.5659,9.54632,11.4261,18.5426,33.9138,43.613,41.026,84.9982,80.1446,49.5238,35.9205,28.9617,21.9847,15.6062,5.21105,4.70533,8.74504,21.6204,63.3779,123.853,180.444,150.078,80.4097,40.1033,26.1911,30.1424,33.8612,29.0285,20.6572,13.0283,6.29769,7.38839,19.7938,40.7807,41.9238,36.5863,30.4286,22.4954,8.84739,1.09867,0.0,0.0,0.421308,0.820118,0.968821,1.16324,2.81527,4.75512,6.58837,11.7197,19.669,40.9274,73.5749,95.2906,101.758,125.632,134.95,136.55,114.865,64.8107,26.9716,26.3517,46.7394,97.9553,156.361,234.643,225.772,195.709,194.376,144.895,97.0701,76.1926,42.7198,16.9848,6.67011,6.56286,14.2148,13.432,18.1308,29.1043,44.3784,69.88,96.7694,108.593,104.356,86.9538,65.5665,76.4149,79.4928,62.4612,39.3767,26.5479,21.9317,21.9317,22.3985,22.3985,22.6319,20.561,17.9439,13.7542,6.64184,2.24033,0.499151,0.0,0.0,0.195089,0.500339,0.908967,1.71186,2.14924,2.1665,1.15817,0.394922,0.0,0.0,0.511931,3.09588,6.29404,7.91529,7.1049,8.60488,9.82084,6.09622,4.90727,5.65651,8.49716,7.84706,17.9815,23.8381,29.706,33.5091,34.8458,32.3147,27.0907,17.7466,20.0176,33.4772,47.0116,58.6821,66.5213,72.579,79.6661,89.7618,80.6141,76.9639,71.2575,66.7012,74.4119,75.4634,83.1216,104.263,103.815,80.0398,47.771,23.4127,16.1231,18.9482,15.2529,6.06155,2.3918,1.48727,5.31569,17.9637,33.8609,34.1754,25.7037,17.1957,11.9322,7.10423,5.18815,2.76613,1.10658,1.09596,4.44015,10.569,17.0474,28.9684,37.5831,40.2187,33.2205,21.2056,13.6978,5.75905,1.54812,0.782262,1.02328,2.59222,3.67721,3.14331,1.84972,1.42401,1.11953,0.970829,1.02874,1.97393,2.94547,2.89149,0.980031,0.0975573,0.0,0.0,0.0,0.0,0.0,0.579547,0.659798,1.94555,4.00186,12.9141,32.2597,41.1467,35.1634,66.2923,222.502,227.404,183.097,215.433,296.973,393.288,461.702,254.369,142.386,242.223,318.602,316.357,322.549,327.02,345.44,377.164,374.232,284.93,216.145,171.227,125.512,105.811,104.611,96.3751,79.7281,65.6283,48.2745,37.0504,27.8957,20.1376,15.8055,14.1742,18.68,12.982,7.75401,9.58418,11.5566,13.0052,12.6015,13.9471,13.8526,6.00901,1.22997,0.621066,0.714357,1.47611,4.74344,9.61378,12.0747,10.8528,8.01606,5.47335,3.41411,1.40328,1.01153,0.873131,0.684109,1.06559,4.73869,6.48664,10.5719,15.7483,20.6084,20.0036,12.1481,1.75437,0.0,0.94617,4.9373,10.8562,14.7705,15.8502,16.5251,17.7399,18.2797,18.303,19.1132,28.2315,31.4986,32.3545,20.4802,18.0486,20.8567,18.2861,9.67438,3.43185,0.889829,0.516665,0.461127,0.848613,2.04301,3.83243,4.65338,5.63769,6.67487,6.52479,7.13136,10.8014,12.7054,13.5146,17.4547,24.1373,27.1672,26.9999,16.3007,17.5313,41.5265,71.8744,94.911,114.3,134.732,125.98,93.9937,67.8387,50.018,45.6523,39.7373,41.7442,43.2839,48.9612,50.6466,54.7678,46.1866,32.9969,19.5977,12.9714,4.65018,0.931527,0.354629,0.576773,1.15242,2.99578,10.5149,19.9546,10.463,4.02815,3.77354,1.13739,0.0,7.12846,20.0422,19.2565,12.4295,7.85809,5.80404,4.45949,5.81039,11.658,18.2798,27.7298,31.1058,31.5718,28.2554,19.5829,7.82152,5.02296,5.27366,7.42779,14.1036,22.477,35.2867,50.2032,71.143,102.497,101.557,83.3899,73.8732,69.2902,57.9443,50.463,43.4567,41.7818,42.9488,36.6471,29.8786,38.0475,54.204,56.16,45.7724,34.4349,26.1963,22.3892,23.4746,31.5963,42.7962,48.9591,37.7886,38.0924,60.6354,85.313,106.604,155.149,149.781,119.139,126.016,216.898,275.375,267.431,270.293,301.225,363.204,376.725,352.965,326.326,290.555,268.062,271.394,259.704,243.727,243.112,210.036,172.251,142.389,106.282,62.1773,38.5715,28.2677,20.093,18.7317,18.7497,16.2986,14.2708,15.3605,16.9786,17.4312,12.2103,7.00666,5.7057,5.53288,6.23687,8.01568,9.38582,9.56,6.89011,5.96122,6.23802,6.67274,8.43452,10.0647,11.2873,8.57037,6.075,5.42812,5.16178,4.24317,3.05346,2.84064,2.40503,1.7833,1.50055,2.62999,3.48687,4.06919,5.35601,8.61655,13.6169,17.5361,20.4287,22.706,30.1235,35.1871,31.783,25.3117,22.1412,19.4357,17.2904,15.13,13.6421,12.6849,12.9864,13.5546,14.328,16.4441,19.4042,16.5794,15.2686,15.6016,19.057,29.6474,44.3663,66.0403,79.4084,74.4934,65.3023,55.8728,44.282,33.4871,23.8459,17.3911,16.3017,17.6889,22.556,27.3654,28.6483,25.1895,17.2699,30.4868,34.0248,24.6746,17.2205,13.3405,15.0231,19.7014,26.8459,32.024,34.2714,40.7551,50.3104,45.1629,32.2307,16.9289,6.64671,2.12877,0.540134,0.124587,0.13613,0.182761,0.160149,0.357487,0.704239,3.24729,4.72548,4.68679,6.11144,9.9078,15.0865,21.0882,28.5087,31.3428,23.1952,23.6263,25.3945,26.0552,27.8936,28.8282,25.557,16.7756,8.38842,4.11407,1.1159,0.587911,0.255048,0.427219,0.691213,0.930758,4.66949,8.72718,11.907,12.6575,17.5908,29.892,40.3263,40.1852,28.742,37.7274,79.8104,122.272,114.714,83.0617,68.2378,54.1784,43.368,45.4104,47.2419,55.7431,59.3887,46.3587,66.1462,93.9063,83.1898,71.1293,67.0794,65.5247,75.9465,112.484,173.361,229.291,243.025,217.271,209.841,191.277,161.842,123.289,99.6079,93.6562,92.3263,85.0331,68.8173,48.2334,36.0825,25.0528,13.4776,29.1245,76.0025,162.55,191.479,196.965,192.462,253.693,352.013,409.523,373.09,257.71,160.652,121.719,93.3162,82.1669,78.5083,56.5482,51.9851,54.5358,52.7561,45.3367,39.0624,34.5787,26.4315,59.0738,168.529,198.527,193.512,187.679,190.966,216.935,253.846,279.739,271.465,197.139,145.334,112.425,91.823,73.3456,56.0373,41.7084,38.7693,39.8284,43.9132,47.0364,41.4046,38.3372,40.0156,63.0276,57.2054,37.787,27.2769,20.1193,18.9668,23.3816,34.7414,51.3857,64.6713,72.1197,80.5284,78.4838,69.1475,62.1603,46.953,42.3238,41.6203,30.3173,20.0378,17.7143,17.9653,16.7453,21.2498,35.4086,38.5446,40.0607,42.2615,45.8591,51.9271,59.1887,69.3449,83.4422,90.6818,72.1749,58.869,43.2194,33.6281,27.078,21.9315,17.2421,12.231,10.3349,7.21989,5.75565,4.56382,3.64286,3.30794,5.70663,10.1035,9.76014,5.67745,3.08301,1.02637,0.616152,0.434305,0.401103,0.31198,0.0,0.0,0.0,0.741612,1.64786,3.22129,4.95851,6.53493,7.81072,6.64306,5.50184,5.50184,6.82681,7.98933,13.9997,14.6145,9.71708,5.78029,2.91954,1.88809,5.2102,14.9585,24.9775,27.966,24.9558,22.7696,20.0639,17.9284,14.5754,9.8617,6.27315,5.95541,6.65892,7.5935,6.50932,5.32761,3.81562,1.90789,3.33997,13.9486,24.6614,29.2754,40.6339,57.4253,72.2218,83.0576,89.0703,77.0982,88.0917,116.87,131.36,95.8948,37.3806,5.2636,0.185964,0.680509,16.1492,29.5459,23.2361,14.619,10.3292,13.6642,28.9338,33.5076,33.6487,34.2724,36.712,38.6848,41.3748,45.8779,43.7459,33.8744,29.8534,31.3127,26.9581,22.1007,18.0366,13.0143,6.55545,3.94852,1.99333,1.0898,1.05642,1.18946,2.99046,4.54449,18.6883,31.365,43.624,61.0622,74.6149,86.9674,100.11,111.499,115.379,80.5334,67.7176,68.1215,63.764,41.3665,25.722,16.222,10.9475,9.22515,11.1497,10.4863,5.38182,1.10789,0.601543,0.519081,0.6179,3.26924,18.9043,24.7416,22.4943,18.2212,15.6411,15.0861,14.5543,13.4252,17.9316,24.7372,25.3319,22.1781,22.2782,27.7469,29.2517,27.2272,26.362,23.8502,19.8476,22.4493,31.7889,37.3544,18.5814,16.3755,49.6963,54.0865,38.5164,30.8354,30.1457,24.6284,20.3596,21.5979,21.3856,18.8045,17.6386,17.2682,28.9519,50.7787,62.5454,52.1505,32.7374,15.3115,7.08591,5.76318,5.38639,3.5563,1.40324,1.8716,3.49641,15.6348,27.4581,30.733,32.703,30.4134,22.4313,13.4275,6.09161,8.1294,18.9077,44.0829,72.1801,89.338,92.5514,103.607,117.08,107.076,95.8046,69.3848,53.375,34.9262,17.2043,17.5577,66.9495,164.857,198.906,198.759,195.655,191.719,154.555,98.8001,113.782,121.983,120.245,122.314,89.2354,58.9447,40.8364,32.8212,40.2353,66.9686,85.9632,64.9502,45.7436,42.3932,20.3694,10.4931,29.1046,68.6145,110.147,172.38,271.229,351.496,337.382,336.906,415.988,374.055,325.803,193.285,135.784,127.476,74.479,49.4035,59.8516,135.193,199.51,136.953,180.636,117.614,50.7952,150.936,416.359,593.552,625.278,608.199,564.284,483.172,351.914,206.221,181.495,183.781,179.685,186.118,215.032,217.56,193.598,170.361,131.717,91.7415,72.819,67.6683,99.4633,129.709,167.842,593.11,653.53,693.389,727.66,755.254,757.35,756.697,748.36,714.321,591.988,473.236,361.061,248.841,159.337,123.601,100.687,76.9111,67.6404,59.3867,50.051,35.0986,19.0774,8.00883,12.9479,49.017,47.0076,47.7579,61.6993,78.0653,88.0425,87.3166,79.6732,57.6377,19.9152,23.0369,38.0176,53.7604,54.2043,62.6455,75.6295,92.9745,98.489,89.3671,69.3817,50.602,25.1093,3.75987,0.0,0.0,0.9458,5.36434,12.2016,23.8747,29.1507,19.5816,40.2096,78.6906,72.7027,35.2411,9.19981,3.37337,2.63449,3.33631,3.82204,3.55507,3.18845,4.74951,11.0107,25.3552,39.8416,34.2014,13.8103,1.84164,0.0,0.289251,1.07104,2.44052,2.96083,2.59189,1.37968,0.835697,0.560609,0.226925,0.49931,2.1791,7.88664,23.1429,39.9736,51.6606,55.6691,57.4908,49.798,32.9719,21.6276,14.6955,8.08962,10.2073,22.0331,45.0463,85.0822,167.793,236.505,380.43,260.608,43.3459,89.464,161.219,235.923,278.92,382.275,379.232,321.989,254.085,266.427,224.464,170.641,100.675,79.5586,43.3219,55.1095,42.7852,41.4141,50.7515,54.7279,67.3915,100.341,129.856,141.229,121.786,86.2687,72.7844,47.8476,25.3136,14.2074,9.55356,5.52852,2.36781,0.468138,0.0,0.128819,1.75508,4.39863,5.64452,7.82648,27.6955,39.7518,51.5236,63.1827,71.8053,72.9784,65.342,46.8323,19.9941,13.9723,39.6295,68.4013,67.8468,43.6609,18.4046,5.66971,4.12872,6.86551,12.0909,16.2488,16.2815,12.1841,9.33686,7.27687,8.10242,12.4629,23.7213,52.452,74.5008,77.0544,71.8053,65.6471,51.0839,40.5632,74.0279,113.439,149.276,160.994,143.622,125.323,97.0168,60.4476,40.3622,34.2267,41.7037,51.9182,33.0599,45.8878,50.9428,56.1258,98.3825,182.501,218.791,194.318,205.17,253.573,369.256,463.429,430.818,367.927,388.342,380.962,350.731,337.398,339.45,345.196,327.497,275.621,226.084,178.047,175.721,247.493,258.808,268.398,268.258,266.095,262.788,236.324,197.681,159.535,122.734,78.8252,49.0202,39.7447,27.9961,16.6265,11.0974,11.6226,17.1674,23.9798,20.3688,16.3289,12.6925,10.523,13.8751,26.994,26.8195,27.6045,27.4538,23.3956,20.223,19.1129,18.2867,18.8212,18.3261,17.3517,19.0679,22.6552,23.0072,16.695,8.47346,4.5302,3.07662,2.60082,2.98896,2.99419,2.39821,1.31461,0.917628,6.67096,5.806,2.87369,1.77416,2.86819,4.8691,6.77007,11.2658,15.5355,19.9717,19.5772,23.8019,39.3299,47.3271,37.16,19.672,10.2547,3.95576,0.912033,0.523413,0.741181,1.25716,2.07131,1.07867,1.05767,1.18831,0.613776,0.0,0.0,0.0,0.0204533,0.0647712,0.0,0.0,0.0,1.08747,5.93313,16.679,24.0522,20.1815,13.2415,9.23762,6.52632,5.1306,4.87219,7.16456,11.3527,7.84018,5.27049,17.9912,21.4177,20.3653,17.5061,13.8836,11.478,10.5558,7.54441,3.61097,0.592418,0.0,0.586057,3.21418,7.36855,13.2852,18.0247,25.6072,33.565,35.7633,37.7288,35.495,32.7174,28.8638,20.0883,39.2946,121.063,115.061,79.4437,123.829,169.565,112.382,45.5491,59.0865,88.3312,140.76,313.128,316.549,305.628,278.86,429.377,65.0088,80.3039,211.916,289.98,362.673,357.602,251.701,135.373,121.288,239.352,289.137,281.257,259.532,260.028,238.516,182.515,116.682,70.4402,55.7255,36.7412,19.6308,12.1416,10.592,13.154,13.8592,13.7674,12.5959,9.2921,6.50488,6.66999,7.96599,17.2166,31.425,39.6614,53.3278,67.4574,71.0368,64.6634,54.8299,46.7512,38.9207,30.5339,21.2675,23.2417,29.5851,33.6533,40.7578,41.8279,36.8679,32.1516,24.6263,17.614,13.3264,10.0934,11.8002,14.6401,21.0012,32.9361,46.2179,60.7617,62.2338,53.7744,43.8698,35.6306,22.8853,6.09161,0.503355,1.12718,8.08783,21.1406,33.2398,42.366,42.4968,37.2649,28.9885,25.367,29.2007,33.8488,20.3342,71.2333,128.442,159.488,162.749,156.113,138.477,115.316,90.7596,91.2411,70.2895,41.1561,22.503,13.9582,7.17853,3.94394,0.997358,0.124322,0.0,0.546519,1.72799,4.26354,5.18933,3.90055,1.09244,1.36378,3.927,3.94665,4.1815,2.94122,1.55256,1.38404,1.10139,0.620638,0.0,0.0,0.0,0.091494,0.983263,6.05948,19.9936,40.9696,48.1077,36.4724,36.0662,44.447,59.0678,61.2859,36.7952,19.6375,65.9899,100.963,107.415,96.3599,72.4263,52.5858,38.2477,24.5132,10.831,3.54968,1.3069,0.976555,0.462702,0.0,0.0,0.0,0.120621,0.60562,0.967566,1.98174,5.08126,7.37436,5.7938,0.995694,0.0,1.0699,5.35299,11.8334,15.0636,15.569,13.7388,8.40396,4.19163,0.991954,0.775073,3.55452,12.292,28.0144,53.5467,88.2747,114.692,115.982,96.4468,80.7023,73.3871,72.2192,43.5031,20.9015,17.9244,32.8753,44.1281,66.2735,89.4715,102.584,97.8429,78.9979,55.1152,24.9604,18.5333,16.506,13.7989,10.9521,8.92456,7.8163,11.3361,19.8917,30.5961,35.5498,36.119,30.0903,10.1275,1.27156,0.0605563,0.0,0.632265,3.13084,6.819,13.8796,17.41,16.6521,13.5637,15.2622,24.1785,40.817,70.7177,119.332,156.505,165.56,168.074,159.83,143.977,137.017,155.042,133.222,81.6802,49.753,37.9021,16.7629,4.87381,2.27056,3.35163,2.81771,1.92808,2.60838,5.71326,15.1302,42.4003,114.657,190.901,241.317,211.147,152.697,96.8248,72.4642,60.0947,60.1822,43.8347,36.8906,26.5552,23.559,13.7702,5.66942,2.2664,0.772166,0.257348,0.0,0.0,0.144035,0.200846,0.158437,0.531092,2.56732,10.374,32.2848,73.8404,103.543,109.648,103.159,89.3605,67.7839,46.6633,32.6151,13.4671,5.45167,0.520342,0.0,0.0,0.45711,0.6224190000000001,0.700273,0.900469,1.43342,4.64905,19.4784,64.3487,116.631,121.793,84.4501,43.8797,30.9718,42.5141,53.8531,62.1622,56.969,39.3627,25.1356,15.0563,13.8245,33.9048,41.811,6.29292,0.440265,1.05371,4.36565,6.48347,8.07058,16.0391,39.6896,85.1144,132.002,140.538,116.31,79.5082,58.0979,56.4374,40.402,29.6297,30.5959,28.8196,27.4365,42.7839,44.2006,24.2272,10.3175,3.86118,1.45959,2.39993,5.03201,12.4593,25.6302,46.0144,66.6869,72.0214,77.3384,75.2638,48.4979,25.9693,17.4064,17.8389,18.9397,25.5248,52.3239,72.3437,62.0094,44.7909,35.7563,29.9445,29.4152,23.0139,14.0531,6.17635,2.47775,1.03131,1.26323,1.00097,2.39895,7.06046,15.4871,16.3282,16.3706,15.4686,11.2345,5.25544,4.29827,3.87287,3.4024,3.72661,2.87496,1.81041,2.59902,2.26415,1.80764,2.35378,4.59596,9.45629,16.3986,20.7258,22.9974,21.0446,9.5281,3.10114,1.73968,1.80353,2.18391,2.72345,4.16711,6.30339,10.2839,13.902,19.1206,22.1407,24.7321,27.0334,26.9698,22.0026,18.4658,19.0579,22.7636,32.8285,37.1748,22.7636,10.6165,7.1566,10.1082,19.9609,77.4843,157.22,136.13,89.7264,61.7409,52.818,55.7362,45.055,45.8803,39.5846,40.436,54.2575,71.2228,69.6535,66.7989,72.3539,84.9492,109.06,130.975,151.596,165.215,173.135,158.638,112.057,75.0179,42.6464,28.8899,24.1091,20.0509,23.0679,36.1036,49.4925,54.8267,47.8153,43.3632,81.9839,174.762,241.734,276.414,298.077,307.583,300.539,300.178,320.707,332.859,321.553,285.747,198.64,141.291,94.1036,42.8721,25.8095,24.4791,25.4501,25.2599,26.2262,27.1563,27.6772,30.2567,38.2456,55.9576,50.5481,41.2506,36.0215,34.7668,36.7835,38.8434,35.6391,32.013,27.2807,27.6327,39.2365,70.6657,78.4539,57.844,36.6955,21.4584,15.4086,11.2576,6.68238,5.50378,7.81343,11.2623,10.3115,3.47096,0.979465,0.690852,0.214134,0.0,0.0,0.0,0.0,0.464131,1.13699,5.32028,19.7989,58.9013,86.4191,74.8423,56.9402,42.823,35.5024,30.0168,26.6103,25.741,26.268,24.4816,9.48238,0.977849,0.893485,0.731703,0.223042,0.0,0.0,0.406936,0.953339,3.26097,7.51391,20.0068,60.5091,119.528,157.414,129.772,106.419,98.4497,92.8416,84.3048,76.3045,72.966,72.769,59.4844,50.9076,40.8869,18.529,6.00649,1.84626,0.825943,0.532392,0.184287,0.0,0.0,0.0,0.0,0.0,0.429618,3.01733,5.59265,6.67963,11.4032,16.9346,19.3949,18.9078,17.3452,15.7764,10.6131,2.47807,0.0,2.26299,6.46306,11.886,14.5945,15.4773,15.8514,16.1143,18.3736,31.1028,66.1053,110.378,121.291,90.1122,64.0068,43.196,28.296,18.6066,15.1558,14.925,14.1556,13.1087,11.2835,4.76892,3.80503,3.8153,3.09318,1.63833,1.09549,1.49617,2.7499,3.58812,4.6945,6.28915,10.924,19.627,40.5315,63.6613,75.4361,74.9783,76.9038,83.139,85.3086,79.0922,67.3672,54.2239,36.9232,11.7318,6.26822,3.17872,1.15053,1.13475,1.46636,1.71403,2.4908,4.2178,5.89712,7.65546,8.51875,6.42761,5.07811,4.13922,4.52495,5.71012,11.1148,19.9894,31.074,30.4918,19.2112,9.72561,4.93754,1.43257,3.82569,25.0621,46.8115,59.1714,61.3241,55.0387,42.3003,28.0451,15.6922,6.15547,3.23769,4.55216,16.2919,37.2533,56.0555,67.3023,77.8244,85.621,91.0779,109.635,128.244,84.0354,43.2525,19.4943,9.86611,16.1183,28.0215,31.9145,29.295,28.3849,30.2409,35.1302,34.3759,19.8253,6.01417,3.0827,12.1014,17.2144,11.6699,6.39697,4.86391,3.6474,3.60369,4.25464,4.53052,4.32399,3.50271,0.739923,0.304514,0.917238,1.18614,2.02544,3.50283,5.04036,5.88501,6.36771,6.05651,5.06214,3.69982,2.98528,2.95153,3.11993,2.54172,1.47836,1.10013,1.05574,1.33447,2.93951,4.9218,6.98317,6.40764,2.59728,1.60241,2.25797,1.1597,0.932794,0.95234,1.07291,1.55326,1.97353,1.55326,1.07402,1.08802,2.19372,4.12933,5.1051,3.95319,2.1055,2.75459,5.16238,7.31674,10.2816,12.0463,12.4741,12.9219,7.86104,32.4161,74.5859,113.382,147.527,155.221,147.426,139.234,132.085,122.67,109.304,94.2425,101.926,125.72,115.672,90.6246,93.0042,107.854,102.521,112.272,113.697,98.4475,84.5793,103.573,121.462,90.8033,51.4844,39.3047,42.463,42.2895,42.4183,53.8519,69.4622,83.9191,97.0701,118.633,126.726,96.9709,72.7677,60.4592,48.3921,42.6812,36.9517,30.9788,25.6964,22.4947,20.1738,15.1859,9.11975,4.33229,4.07616,3.98683,3.42359,2.12357,0.984847,0.590036,0.152245,0.0,0.0,0.0,0.0,0.0,0.219336,0.855056,2.91385,5.33946,8.60806,13.0839,15.9423,17.7237,18.8277,17.766,6.65462,4.34231,5.35007,6.6291,7.12164,7.95648,6.70943,4.89125,3.26091,2.99877,3.85115,3.71428,2.17792,0.893274,0.377899,0.098724,0.00991361,0.258146,0.631599,0.814355,0.906569,0.863068,0.853197,0.873591,0.620243,0.546047,0.748502,0.922038,1.40482,3.21898,5.34934,8.56312,14.9572,22.06,31.4154,38.1524,71.835,194.126,224.101,139.522,81.7115,51.3401,29.7323,22.6182,22.4494,23.7218,26.3591,20.168,25.9408,38.8655,51.0545,57.4387,69.7154,91.0208,123.916,168.597,193.39,212.187,209.261,196.368,150.972,97.493,43.5806,21.4625,13.2234,8.71641,7.94345,8.64172,7.46848,5.61119,3.85156,1.85033,14.6055,43.0753,64.8583,70.988,68.8526,66.4199,67.8779,68.7464,69.4307,71.9265,75.2452,74.2331,68.5096,77.0086,70.1093,49.5713,28.3113,15.6877,9.0288,5.48068,2.70363,0.666254,0.0,0.0,0.0,3.14112,6.50147,14.3459,21.8433,28.0415,30.194,31.2315,32.2888,32.9687,34.5909,36.5842,39.3689,49.4133,47.3513,33.3676,19.0626,10.6908,5.18921,2.2034,0.676068,0.0871884,0.098902,0.402772,0.364705,6.60889,30.6141,37.1048,42.5173,56.3448,77.2364,103.951,124.839,129.541,114.807,80.1714,48.1258,34.9074,23.3753,18.2191,17.8718,18.1931,18.3818,18.5646,22.0984,23.0636,24.2822,18.5423,18.7712,39.1003,31.9892,20.4268,15.0833,11.6074,10.3902,10.237,11.4142,13.0059,14.1075,17.327,26.9508,41.6829,51.6897,47.7778,36.623,26.1738,19.1374,13.9805,8.94795,5.30547,2.91306,0.8587,0.0,0.776247,3.13181,5.09658,7.4967,11.3543,14.1793,16.6292,18.8465,21.9651,27.2593,35.7856,43.0535,53.4526,45.4924,30.5999,17.1193,11.066,7.38016,5.53166,3.88779,2.14171,0.857131,0.180016,0.0,0.293284,1.01192,1.51023,2.17046,2.98815,4.3313,5.42046,5.57678,5.25918,6.51564,11.0244,17.4993,52.1685,90.8779,88.0055,64.0127,15.7326,0.150781,0.0283823,3.1381,10.6812,18.6567,21.3115,10.2884,20.7689,64.7398,72.8062,78.2212,84.6214,93.2895,103.029,111.053,107.925,92.1932,69.6051,55.8349,40.7228,27.9032,20.2179,15.7968,7.40029,1.86305,0.690977,0.782636,1.68794,5.46139,9.26013,4.81172,2.91362,0.252684,0.0,1.02025,4.7778,7.2308,9.94447,9.42465,6.486,4.99213,7.09534,43.8398,136.567,160.92,124.481,125.278,137.566,122.394,110.659,123.864,88.5337,58.6745,32.0307,26.0164,20.1781,11.3432,6.03631,4.3359,3.2234,2.53721,2.32284,2.01081,2.06894,4.68771,15.4679,55.5228,152.212,229.421,220.017,199.672,165.95,105.857,67.4561,50.3856,44.05,46.8151,40.1263,29.9728,84.8113,112.716,108.974,114.012,139.146,161.736,153.606,130.388,119.142,121.424,134.07,186.368,224.511,211.259,191.354,167.121,139.493,116.652,95.7378,78.7052,82.6104,76.4759,38.7208,17.5904,33.7481,36.5131,21.3573,8.49576,2.85683,0.696378,0.0,0.0,0.0,0.72912,18.7716,112.074,210.672,236.986,205.41,161.264,127.762,110.793,92.2905,67.9633,48.0827,34.7096,21.2145,20.059,33.2315,49.5739,55.1709,56.4204,46.5998,38.4837,37.5066,48.954,85.7788,165.813,241.247,187.49,156.642,132.435,107.052,82.0798,56.6576,36.1574,26.4296,19.1712,13.6056,12.1633,4.93061,3.78981,18.3008,41.6358,65.2828,68.1151,44.4363,23.9697,11.6197,4.62927,2.06858,1.80728,4.59203,15.0672,41.0717,69.848,77.9857,72.3219,49.7853,27.0118,11.4606,2.77879,0.826332,0.793852,0.836399,0.34022,0.536786,0.743966,0.484991,0.327335,0.97882,5.28404,13.3707,21.0685,30.3595,41.9776,66.3136,93.2622,116.912,94.4461,63.7899,51.1856,43.6522,34.5757,27.5462,20.9581,14.929,9.8936,5.70481,5.37013,5.29892,4.6401,3.08687,1.91423,0.94781,0.357548,0.0,0.0,0.0674407,0.291219,0.68281,1.04238,1.06775,1.38582,2.28771,3.34979,5.47579,10.8701,16.4826,19.8328,22.1685,22.1685,13.7106,7.14617,1.64643,2.0888,6.21584,15.5747,19.0623,19.2889,18.242,15.2094,9.59945,4.92259,1.84283,0.91468,1.15272,2.15804,3.22297,4.65914,5.67896,6.87732,6.66711,4.29571,1.15873,0.957839,2.17756,8.96756,21.5711,38.8525,56.3197,65.2203,66.9877,67.7997,69.7312,64.285,52.3716,36.8748,19.3046,10.2734,14.1875,15.5527,12.5592,9.95254,7.48136,5.68766,4.90275,4.16993,2.53465,1.0877,0.92891,0.80098,4.35764,11.4474,19.3913,31.535,27.8361,18.8981,13.5323,5.60444,1.10934,0.242752,0.0,0.971014,14.3768,36.0942,56.5657,71.5295,83.2507,87.7396,84.9499,82.0612,88.4346,92.3849,49.9611,10.1308,53.2949,66.187,17.8238,30.9989,50.3711,59.2304,61.004,99.3855,62.6566,22.8818,24.9629,38.9363,69.4564,81.4183,76.1455,57.7899,28.0392,11.026,4.9322,5.05557,5.43924,4.70606,2.56615,1.64409,2.09381,4.12164,8.69261,12.4843,9.99084,6.05938,4.48454,2.91924,1.29069,1.00632,2.98798,9.08478,20.4069,30.9611,32.1648,29.695,20.2462,17.866,30.7987,43.8127,44.9805,44.7334,37.0237,34.7393,50.7269,71.5219,69.5164,53.6982,39.8848,30.0155,24.8032,25.6635,30.1938,35.4847,28.0922,20.2535,27.4312,33.722,36.351,33.9423,29.4594,25.4286,22.9852,21.2096,19.5591,16.1059,8.73593,6.40737,5.20347,3.63598,4.92027,7.75662,7.98306,6.13373,5.33721,6.17493,9.35078,13.8636,16.428,18.0016,21.8908,27.0442,26.2682,23.1941,20.2386,15.8986,10.6196,6.79469,6.25466,6.97078,6.32757,3.79951,6.64716,5.66901,3.6498,1.90169,2.20246,4.0752,7.4803,16.6346,31.7696,59.7724,84.7123,90.9496,117.089,121.014,106.948,99.4988,93.4064,87.2382,81.9276,77.6058,70.7831,67.6677,45.2571,40.565,31.1795,15.5768,5.04055,1.00525,0.268356,0.0,0.0,0.0,0.523406,1.13692,4.65674,15.2646,39.8174,66.411,79.7107,89.9108,100.714,112.47,107.883,125.863,91.7154,69.3886,47.8289,49.9871,28.168,8.28061,0.786856,0.0,0.179366,0.48955,0.799919,1.02231,1.21421,1.85123,3.11931,6.92944,18.1364,30.0305,36.5139,38.2028,41.9422,48.8341,55.5213,59.1042,59.5699,58.2722,38.8662,32.1849,19.5433,6.28684,2.73804,1.1082,0.772539,0.515416,0.403477,0.337067,0.359204,0.571036,1.81118,18.058,82.7875,146.286,175.76,213.307,204.482,183.113,137.135,99.955,69.2265,40.6769,29.1154,21.69,20.2837,19.0973,13.6797,5.64278,1.26087,0.529801,0.484201,0.717094,0.938896,1.10724,1.78265,5.48802,19.9011,47.1155,76.3113,103.534,130.37,146.579,146.309,144.037,138.393,127.127,78.4738,67.4622,51.6436,23.9932,6.38844,1.5968,0.580276,0.169413,0.102237,0.290044,0.488899,0.589305,0.480183,0.51642,1.46048,4.56702,4.10459,2.28,1.11636,0.984365,2.57204,10.5382,18.8812,20.534,15.1771,7.49235,5.5607,2.59899,0.923224,1.03138,13.0285,79.1983,227.122,317.128,220.659,164.78,146.836,110.05,95.2515,71.9977,53.6155,37.5284,26.8643,18.5028,13.8877,10.0471,6.72292,5.19736,2.73147,2.06316,24.4876,64.1196,125.732,180.335,211.127,231.552,246.861,234.004,194.573,167.325,157.078,143.447,146.239,96.1366,42.6891,15.8803,4.41824,1.01398,0.485829,0.238284,0.329327,0.420146,0.541815,6.33584,35.9459,57.7921,72.49,80.6262,91.1179,103.844,104.028,96.4079,81.1681,67.21</t>
  </si>
  <si>
    <t>2.31393,2.09955,1.44973,0.854065,0.881141,1.42266,1.63327,1.97628,13.5774,49.3078,65.5805,63.155,46.9827,43.6943,54.2608,64.6395,73.9229,78.196,71.5605,62.6591,55.4645,57.5201,64.7146,71.4435,100.463,129.635,155.317,136.907,121.121,139.977,136.824,230.869,428.118,694.812,973.484,1153.09,1087.56,792.915,618.45,500.074,246.902,106.764,52.9741,25.0958,14.3089,4.92412,3.12703,10.7515,17.3654,26.2609,27.6736,21.4658,20.3249,23.6123,44.5352,52.9191,62.7712,66.9679,76.3005,83.4989,76.8907,52.6092,37.6744,47.0866,72.3378,102.273,125.434,131.253,130.422,108.536,81.7495,58.6276,44.2322,37.1004,44.8154,58.7955,83.7687,123.656,92.2352,116.64,207.289,244.64,242.567,222.309,140.68,96.157,59.3407,47.0232,46.0499,43.483,40.9852,62.1884,106.815,119.494,108.81,93.0167,79.8649,63.6618,55.4177,62.6856,80.1622,97.4984,62.1439,39.1213,187.841,360.398,413.334,408.471,308.719,182.859,202.851,362.276,408.871,348.894,349.629,409.421,442.535,345.344,250.147,218.714,181.335,144.586,127.322,143.089,146.912,134.415,94.9545,55.9711,163.484,276.12,309.586,293.017,236.608,167.361,162.849,193.654,205.754,183.336,137.919,104.184,71.9657,41.507,12.8063,2.53336,4.91815,8.50115,5.93043,2.2426,2.35381,7.95483,10.0749,6.67752,5.42868,8.88858,10.3979,9.02221,5.87788,1.95065,1.58109,4.45817,13.9845,20.5489,30.9133,39.2036,44.4143,49.1169,61.0567,83.2455,108.964,135.512,177.1,185.049,169.15,156.183,140.292,121.643,139.583,133.321,139.705,131.827,108.877,78.3593,105.756,207.37,384.945,559.343,696.168,751.985,707.563,645.346,566.379,478.734,419.996,417.73,389.28,478.502,442.481,210.84,112.084,92.9014,158.308,233.721,205.171,171.341,144.21,72.7553,30.857,33.5536,95.7593,308.296,706.827,971.808,834.411,929.905,854.737,650.575,347.238,333.987,333.987,290.816,317.327,324.902,241.646,339.349,487.892,430.073,318.401,215.345,156.425,84.6949,51.7144,95.6353,202.568,366.18,499.868,531.41,448.025,412.82,236.627,190.134,202.03,194.859,157.88,165.804,196.18,217.311,208.526,254.692,254.692,200.211,128.713,65.1795,42.0873,30.0057,68.829,225.596,464.818,561.342,515.62,541.022,417.838,258.126,210.59,268.023,336.312,360.591,315.08,236.023,144.45,70.9173,19.6258,12.468,3.93361,11.9818,40.0171,94.5469,161.163,285.842,632.661,960.677,552.402,315.275,272.439,303.787,316.311,299.766,262.154,259.825,250.766,281.543,291.51,328.326,342.592,337.28,655.424,734.589,653.185,576.929,565.69,586.12,585.663,573.878,480.927,398.296,265.638,220.348,186.796,133.568,96.5982,64.0159,57.6776,58.7183,57.075,41.4181,20.7471,13.5261,7.50867,2.47029,2.32336,0.108927,0.0,0.0456231,3.12858,19.3775,50.4432,84.4659,148.533,212.007,216.008,208.006,202.672,205.339,206.673,194.67,193.337,190.67,174.667,141.787,110.918,85.8891,85.0548,90.6281,197.342,524.199,1095.73,1447.04,1579.67,1543.09,1485.01,1314.79,776.509,465.36,326.489,226.092,151.758,130.113,131.094,121.078,101.198,73.643,79.7491,99.2524,116.197,119.701,107.305,94.7399,135.565,526.079,669.427,659.85,625.469,594.807,524.091,400.16,206.347,143.269,134.413,101.279,61.9813,39.2573,20.5722,12.7611,6.93965,2.93697,1.79575,0.727827,0.0,0.510977,2.29644,9.23257,25.8875,86.3206,182.818,203.848,210.675,220.662,228.625,182.706,114.634,114.791,165.877,287.806,409.276,471.149,500.626,555.435,584.468,686.718,817.514,739.038,697.885,467.997,286.241,215.495,225.801,452.92,558.534,932.964,1399.73,1496.19,1446.27,1038.67,466.973,403.914,519.987,442.807,309.933,276.364,212.362,117.645,72.4145,97.8718,132.789,115.552,96.9852,79.5611,173.76,557.38,768.111,1100.14,1333.09,1481.1,1587.17,1602.12,1594.69,1458.26,868.235,501.314,343.782,339.114,307.046,256.54,233.837,173.207,151.649,144.883,185.103,191.838,163.803,127.432,92.8482,64.7426,62.1554,76.7144,112.748,129.671,133.384,130.596,124.645,118.269,106.835,162.992,263.165,381.551,438.104,419.188,371.292,305.677,247.148,196.057,154.378,117.079,85.9627,103.455,183.262,219.654,242.93,307.69,384.767,659.603,1108.19,1188.81,1063.17,1038.29,1366.22,1520.18,1581.76,1590.06,1607.92,1465.31,1495.41,1231.84,847.797,740.802,660.048,558.047,613.047,442.713,203.025,78.7864,19.2738,38.7359,25.3172,16.2172,22.151,18.1948,10.482,8.72365,9.38114,25.6669,135.637,347.764,387.078,390.532,383.994,459.082,436.12,207.447,213.178,221.619,216.558,229.905,290.011,252.594,247.403,370.021,972.874,1489.03,1589.23,1494.16,1176.44,732.676,569.533,594.912,596.465,551.509,467.78,455.689,390.02,321.724,280.189,238.155,244.136,228.506,142.928,118.734,115.521,93.648,85.4116,61.6277,36.464,14.6629,5.68581,6.28428,13.2664,24.0683,35.7044,31.2499,19.6997,12.5033,4.88442,1.76532,0.728038,0.23816,0.0,0.0,0.0,1.70031,12.9345,39.9976,74.7812,101.743,136.401,148.085,148.461,115.122,81.418,72.0717,65.4558,59.7648,49.1066,39.9465,58.25,119.462,147.717,125.102,139.562,168.816,197.408,213.542,225.643,257.665,362.579,438.709,437.76,369.428,290.096,229.528,279.792,278.474,229.575,189.706,197.901,235.915,212.695,180.02,181.237,226.743,234.382,164.745,93.3824,55.6929,55.7696,60.072,57.0324,55.0271,58.2198,47.7518,36.7604,74.7628,61.8757,33.5086,65.2061,114.306,148.181,146.434,135.147,115.446,79.394,71.6268,64.4361,44.3295,18.1151,6.30613,1.62894,0.0698796,0.0,0.0,0.0,0.0,0.290724,0.676383,1.17256,1.96809,6.75352,22.3498,49.9309,63.165,78.0308,89.585,97.9159,115.0,127.762,147.404,183.641,191.479,161.231,128.49,100.638,70.2536,64.3286,59.677,45.0309,30.2631,20.4289,16.7996,15.6045,16.6129,15.079,11.3358,9.62196,3.91351,1.65284,0.971506,0.618592,1.46016,5.86569,20.3398,41.0382,39.1501,22.6392,13.5502,7.75576,7.98381,14.2503,20.523,27.8597,36.7263,56.5457,66.977,60.875,45.6878,20.7966,13.1586,47.891,79.4038,104.517,123.259,127.4,80.1942,66.8455,153.166,293.385,393.325,368.017,312.852,227.64,209.283,238.663,253.71,230.462,118.126,76.5435,51.8675,26.0965,18.3063,10.9057,15.946,33.0913,48.8936,52.429,47.3037,41.666,33.1225,22.854,13.3859,2.86101,0.623274,0.0,0.219557,2.12923,12.9828,30.0777,64.9858,109.161,141.235,167.007,151.733,121.486,108.668,107.89,106.996,189.876,247.794,383.379,508.655,574.723,484.17,534.379,661.556,790.664,744.472,578.522,365.042,295.986,280.423,320.438,400.001,469.317,542.282,631.639,827.045,919.198,864.617,777.382,756.074,829.696,1092.68,1326.1,1289.35,1293.22,1356.61,1417.96,1546.27,1592.56,1593.03,1589.08,1583.51,1540.82,1433.41,1445.11,1402.66,1365.21,1266.27,1169.29,1037.41,854.22,624.373,410.502,352.75,205.16,190.084,267.208,270.299,199.867,203.779,253.914,286.852,264.183,242.024,211.833,158.918,119.212,137.436,280.562,464.231,583.937,629.061,814.193,734.021,593.057,438.855,668.737,962.653,848.536,649.142,582.08,620.299,678.633,715.894,533.817,262.676,112.065,45.7544,19.6749,12.8639,7.47757,1.54174,0.093167,0.0,0.0,0.0,0.447368,1.04999,1.10659,1.73238,16.3411,22.745,32.2204,37.1005,33.8002,33.683,42.4081,44.6206,27.0917,25.3595,38.4587,56.1798,78.9374,97.487,100.122,80.883,51.9088,21.9167,9.46396,1.75865,0.529229,0.0,0.0,0.0,0.0,0.944697,47.2143,90.8825,121.997,135.098,122.694,80.1577,46.0498,45.367,51.1452,65.6903,100.039,132.71,172.139,186.811,179.129,176.46,180.463,189.805,180.968,157.38,136.329,111.328,50.9501,141.047,518.495,689.267,851.955,963.834,983.404,866.641,1101.25,1324.66,1293.49,1295.49,1113.59,1352.6,1264.13,793.109,883.917,833.195,800.331,687.385,1078.31,1424.67,1270.67,1128.17,1014.03,1102.53,1329.96,1536.8,1613.12,1641.11,1674.66,1689.57,1710.62,1710.62,1710.62,1600.87,846.463,449.642,124.202,14.8402,27.8777,136.209,262.093,443.767,808.014,1240.89,1277.91,1480.87,1624.31,1707.8,1701.02,1684.41,1653.34,1625.29,1605.19,1481.73,1207.94,1142.88,1145.52,1147.33,1104.3,1020.64,1077.42,1116.59,1175.34,1006.92,547.826,385.418,212.334,142.327,150.179,207.547,791.375,773.977,645.281,579.091,518.791,500.978,511.157,450.601,274.829,172.825,131.826,107.744,85.2649,68.5251,55.5774,32.7531,13.6219,2.35329,0.551308,0.0,0.0,0.0,0.528048,1.99791,10.8861,14.3703,22.3206,29.7291,28.4228,29.2833,31.3323,41.7122,59.4268,79.7855,92.6835,94.6845,89.9232,80.0794,67.4393,52.4511,38.4465,30.1474,25.9979,24.9605,24.9605,25.5251,27.6485,17.5667,3.87329,1.55981,6.15989,7.2458,7.56365,5.95668,5.75978,3.08692,3.6106,10.4579,19.4713,40.6431,62.4859,95.7543,129.945,154.141,176.983,211.847,249.178,304.2,382.664,479.172,574.106,619.697,1005.69,1115.37,919.141,638.506,424.471,332.842,300.694,260.281,239.56,283.574,360.613,397.39,397.39,367.26,285.111,192.034,115.476,64.0199,41.305,32.5288,16.9958,7.03314,1.92552,1.10538,1.79808,1.0838,1.23692,9.53845,25.1283,38.9055,35.8439,23.8124,17.8426,12.4118,5.10114,1.50587,0.0,0.0,0.0,0.917589,2.44164,6.85709,6.67183,3.48087,2.39472,2.52035,5.72729,6.25047,10.4905,12.7771,11.3183,7.89373,5.68425,6.47428,8.64687,9.485,7.82544,4.13371,2.34884,3.38297,9.77732,18.5839,39.8332,58.5156,64.8085,64.935,58.3543,41.3427,15.9707,2.0224,0.332062,0.219093,1.59244,2.3662,7.36587,13.2194,18.0993,20.0433,18.4649,18.7145,50.7667,105.164,135.478,167.269,204.89,226.761,205.98,139.138,84.8096,50.6127,33.5238,23.1231,17.1132,12.9193,13.119,11.0283,19.4378,29.48,43.351,62.4078,67.7507,63.0462,51.3323,38.2873,46.1218,80.6066,132.577,177.103,186.396,154.533,121.245,87.1673,73.726,83.6955,89.511,88.796,98.7691,124.533,143.446,123.719,115.504,480.612,930.783,955.937,925.06,749.918,402.571,125.11,89.5161,219.788,307.969,286.284,237.703,227.628,246.569,168.749,125.819,187.598,230.16,255.431,273.559,260.346,249.992,194.628,126.906,39.532,2.20309,0.0,0.0,0.584085,1.09418,1.26021,1.83745,2.41645,7.66416,17.2531,39.5325,67.0637,101.498,113.321,105.917,90.0648,70.9674,59.1418,49.3177,38.9765,29.6694,17.9568,12.0942,41.3726,74.365,91.8002,110.151,131.327,128.261,88.7216,87.895,119.953,215.017,214.048,138.761,111.516,72.5162,40.0189,18.5113,16.5292,17.1239,15.34,17.3376,19.9394,20.5345,18.6703,13.8158,29.3412,70.498,134.726,202.103,220.994,211.57,183.105,119.382,94.3707,100.503,152.324,273.508,424.023,484.305,415.774,280.904,150.989,76.5139,46.663,53.8329,88.683,150.31,205.544,190.812,396.81,377.964,229.031,161.737,130.746,105.879,70.6059,21.749,19.3426,43.6069,104.581,287.184,583.073,844.477,695.241,378.994,185.557,120.871,134.954,150.01,130.984,101.148,59.9438,32.1104,38.4324,96.3854,189.415,195.925,165.529,135.974,107.699,43.9972,5.11832,0.0,0.0,1.25734,2.20089,2.86537,6.23846,12.3866,19.5259,34.8821,54.9527,95.6171,190.251,342.429,436.772,468.011,592.336,634.189,640.284,536.267,294.947,123.653,121.444,218.521,448.207,726.117,1092.89,1051.41,919.494,912.943,672.083,443.681,356.611,200.458,79.0928,35.6615,34.6389,64.4691,61.4836,86.1478,131.254,209.61,322.411,442.514,503.605,481.541,404.402,299.042,357.816,374.491,282.218,181.42,122.143,105.691,105.691,107.354,107.354,108.186,100.805,84.997,62.7124,35.392,10.2707,1.44151,0.0,0.0,0.722132,1.44432,2.4111,8.32578,9.93545,9.99897,6.1505,1.19492,0.0,0.0,1.47175,13.4194,32.0756,40.4421,37.3512,43.0722,47.7101,30.1893,20.0858,25.9965,42.6614,40.1819,85.2285,112.485,133.398,148.005,155.617,142.696,124.078,83.7829,97.763,147.823,219.549,263.598,304.215,337.034,375.43,415.305,379.787,360.79,329.874,305.189,346.964,352.661,389.523,481.058,478.721,377.455,222.415,110.969,73.788,91.18,68.4311,29.8588,10.8281,7.49922,22.7467,85.1191,150.008,151.799,119.134,80.391,55.7629,37.3486,21.5306,12.2058,5.25552,5.0712,18.3667,50.5635,79.4781,130.77,171.206,186.215,146.361,103.102,62.4973,26.9743,7.72317,2.11133,3.81024,11.5658,15.5588,13.5939,8.83314,7.2664,5.48023,2.90022,3.90499,9.29025,12.8658,12.6672,3.05986,0.491381,0.0,0.0,0.0,0.0,0.0,1.63172,1.82159,9.18582,16.7536,59.5082,142.5,191.5,157.426,302.974,1036.12,1059.04,857.513,1003.06,1362.77,1584.88,1646.88,1185.13,662.523,1128.34,1415.46,1409.99,1425.07,1435.97,1480.84,1558.12,1550.97,1326.96,1006.4,799.18,591.714,489.119,482.869,440.983,375.766,299.377,224.315,168.172,126.947,98.5019,71.833,64.3143,89.529,59.7672,39.8269,46.8074,54.3303,59.8556,58.3159,63.4483,63.0877,29.3577,6.55227,1.72995,1.95067,7.45813,19.4829,46.9203,56.3068,51.6462,40.8264,24.2501,14.5905,7.19011,3.60634,2.32632,1.87911,4.54437,19.4654,33.9121,50.5747,71.4807,100.974,97.6768,56.5864,8.48221,0.0,2.49912,20.1964,51.6593,66.5885,72.1084,76.2629,83.7411,87.0648,87.2082,92.1958,128.143,139.788,142.838,100.517,85.6421,101.859,87.104,47.1515,14.6558,2.36582,1.48295,1.35155,2.26831,9.54451,16.1301,19.1514,25.8171,35.7069,34.2759,37.4521,51.4499,58.7123,61.7985,81.986,113.551,124.35,123.754,74.8812,82.4573,193.662,333.216,435.298,533.326,633.358,594.147,431.736,311.352,230.896,214.418,183.473,194.902,203.67,226.907,233.269,248.824,216.435,145.128,95.1781,59.7267,19.1396,2.46447,1.09959,1.62516,6.05074,13.051,50.3575,97.3754,50.1594,16.8504,15.9134,5.79008,0.0,37.441,97.9144,93.0777,57.66,40.2239,27.4033,18.4379,27.4639,54.7171,87.0651,126.355,138.387,140.048,128.228,95.0874,40.0844,20.5116,22.346,38.5827,64.0449,107.634,158.128,231.595,329.254,471.857,466.966,390.565,344.045,319.216,260.814,232.576,204.654,195.116,201.762,165.875,134.014,173.85,246.696,254.079,214.871,153.277,120.89,107.321,111.189,140.136,200.893,226.899,172.376,174.105,272.326,398.032,493.247,720.161,693.779,558.525,594.339,1009.92,1283.36,1246.21,1259.6,1373.13,1524.11,1557.05,1499.17,1434.28,1347.14,1249.17,1264.74,1210.08,1135.37,1132.5,978.885,804.21,662.533,491.572,280.68,176.834,128.272,98.2274,89.8474,89.9581,74.8688,64.6827,69.0934,79.0548,81.8409,56.8239,36.9765,26.4656,24.8177,31.5304,40.825,46.0508,46.7152,36.5319,28.9021,31.5415,35.6866,42.4225,48.6402,53.3035,42.9406,29.987,23.8188,21.2792,17.6418,13.2632,12.48,10.8768,8.58869,7.54808,11.7048,14.8583,17.0014,23.1312,43.1168,62.1887,82.4865,100.294,108.45,134.886,157.561,140.801,117.737,106.437,94.1808,80.9739,67.9598,62.285,58.634,59.7839,61.9513,64.901,75.7643,93.9873,76.597,68.5279,70.5777,91.8497,133.19,209.564,301.609,374.034,347.406,297.61,252.995,209.246,147.88,112.513,81.5942,74.8874,83.4275,107.915,125.057,129.629,117.301,80.8477,136.181,150.942,115.466,80.5437,61.1345,67.5521,95.8165,123.205,141.66,152.346,189.269,232.0,212.571,142.397,78.749,35.4384,9.86014,1.53847,0.55533,0.58264,0.692966,0.639468,1.10635,1.92673,13.9766,19.4168,19.2744,30.3345,48.0418,67.7941,102.684,129.131,139.232,110.193,111.73,118.032,120.387,126.939,130.27,118.611,77.8048,42.2467,17.1666,5.41718,1.65151,0.86399,1.27133,1.89591,2.46266,19.2107,43.5387,55.6669,58.5294,82.8238,134.062,186.828,186.024,129.963,172.027,376.212,574.841,535.482,389.291,313.514,246.599,204.149,213.505,220.418,252.505,266.265,217.084,302.183,431.397,389.788,329.18,307.238,298.816,355.278,523.868,809.666,1067.87,1132.09,1011.66,978.114,897.717,753.057,580.138,456.814,430.426,425.262,396.945,316.654,224.16,162.66,116.814,61.6576,131.326,355.582,756.534,898.707,925.667,903.54,1181.97,1496.85,1599.59,1548.19,1200.76,747.204,571.958,429.106,385.816,369.157,255.544,238.321,247.948,241.231,213.227,179.63,154.096,121.728,265.077,785.919,933.345,908.699,880.033,896.186,1010.09,1182.69,1303.77,1265.08,926.523,673.756,523.559,423.308,341.187,253.616,194.698,177.96,183.992,207.254,219.642,192.968,175.5,185.058,285.287,258.025,172.366,124.741,98.3893,91.2945,110.858,155.022,236.059,294.192,334.545,379.455,369.025,318.443,280.588,219.328,198.202,194.197,135.577,97.8875,83.5836,85.1292,77.6188,103.26,158.822,176.681,185.315,197.848,215.198,238.102,265.51,319.512,390.768,418.877,334.844,264.304,203.303,148.683,124.032,105.689,80.6768,56.9027,49.6708,37.7897,26.9418,18.8218,15.4324,14.1998,26.4745,48.7881,47.4786,26.1963,13.372,3.86387,1.71833,1.28809,1.20954,0.998685,0.249288,0.0,0.0,2.01515,8.09023,13.8809,20.2744,34.3725,40.0432,35.4036,24.5217,24.5217,36.2905,40.7245,63.6488,65.9938,47.3143,27.1768,12.7704,8.97434,21.7409,67.3057,116.546,127.197,116.468,108.677,98.0483,84.9016,65.8446,47.8659,31.8764,28.8467,35.5549,39.2147,34.1283,22.8604,16.0682,9.04722,14.3177,63.454,115.419,131.864,188.579,258.855,335.099,389.274,412.62,361.518,408.821,546.706,620.511,439.118,170.052,22.25,0.7005440000000001,1.87059,73.9487,132.828,110.339,66.011,49.6492,62.3692,130.646,147.996,148.8,152.352,166.245,177.479,192.798,215.27,206.301,150.085,133.924,139.125,123.605,106.293,85.5678,59.8903,34.5683,16.5574,9.36165,4.96428,4.38524,6.40318,13.0314,18.7507,89.5797,139.311,205.607,274.639,348.063,404.455,459.431,518.737,538.946,379.474,310.696,312.884,289.276,192.751,119.199,74.3971,52.0074,45.438,52.7786,50.2483,23.3773,5.27821,1.68376,1.48867,1.72246,14.0574,90.9098,115.705,107.696,86.7045,70.8209,67.7923,65.7643,61.4574,84.9214,115.689,117.809,106.569,106.925,126.416,131.779,124.564,121.48,112.528,96.7168,107.535,140.822,169.903,88.9217,75.3422,229.682,246.253,176.52,137.424,134.966,115.302,99.8686,104.501,103.744,90.2953,83.1179,80.8374,130.711,233.767,282.674,238.945,144.203,68.7919,37.2787,27.0137,23.4209,15.1138,7.18996,8.91367,14.8934,70.7823,125.387,137.059,144.08,135.92,107.471,61.4662,30.1453,41.2587,90.9308,208.22,334.873,413.659,426.136,477.642,547.801,495.707,438.768,319.728,243.567,156.075,80.4444,82.6198,306.535,767.87,934.911,934.331,919.229,899.887,717.244,452.607,530.629,573.336,564.281,575.061,413.261,264.59,189.732,144.501,186.309,306.638,400.556,295.703,214.763,198.598,99.9291,50.274,131.255,315.555,511.699,804.844,1263.98,1495.59,1461.21,1460.05,1605.45,1550.54,1433.0,907.581,637.366,601.941,347.327,228.577,268.08,635.113,937.296,641.821,845.42,550.582,233.83,699.459,1605.79,1710.62,1710.62,1710.62,1706.87,1666.34,1496.61,963.812,849.639,860.873,840.744,872.362,1001.19,1013.01,909.119,794.92,621.867,422.992,338.334,310.429,456.06,613.566,782.544,1710.62,1710.62,1710.62,1710.62,1710.62,1710.62,1710.62,1710.62,1710.62,1710.62,1657.34,1518.89,1159.28,740.743,581.762,462.432,360.504,310.278,266.258,231.021,157.057,91.9755,40.7988,59.6372,227.118,219.533,222.365,278.09,366.757,408.63,405.811,375.468,259.656,97.1327,109.629,173.68,245.021,246.697,283.217,353.56,427.779,450.987,413.773,319.711,233.1,117.016,15.863,0.0,0.0,2.49824,23.2107,56.7906,112.615,131.419,95.0789,186.162,370.145,337.704,157.868,45.3414,14.4406,11.7213,14.3042,16.0918,15.1093,13.7601,19.5052,52.2485,117.892,184.067,151.947,62.9265,8.80338,0.0,0.944911,4.63886,11.0074,12.9223,11.5645,7.10324,2.23775,1.58692,0.797453,1.44189,10.0453,40.3328,110.007,184.819,237.096,252.226,259.102,230.066,145.038,104.607,66.3028,41.107,49.1841,106.052,212.131,397.135,782.303,1101.6,1566.07,1214.31,204.023,414.149,749.992,1098.88,1299.94,1570.57,1563.15,1423.71,1183.8,1241.52,1045.3,796.3,462.371,374.847,203.886,250.114,200.83,193.022,233.665,248.674,308.929,460.63,614.335,658.113,572.31,401.742,338.146,222.704,117.744,64.4408,46.6906,24.7762,10.7399,1.36814,0.0,0.565343,8.48482,18.2139,25.8822,40.1034,126.233,183.556,236.579,286.127,332.842,339.198,297.826,218.872,97.6184,63.5445,182.859,314.4,311.396,205.817,87.8334,26.1225,17.2205,36.4381,56.3685,74.5618,74.7635,56.724,45.8641,38.007,41.1558,57.7872,112.069,240.083,347.446,361.28,332.842,299.478,234.919,188.177,344.884,528.839,691.296,748.885,667.235,590.729,443.474,271.309,187.032,152.091,194.671,238.068,145.447,215.307,234.387,253.95,450.432,854.583,1018.77,912.662,959.661,1181.41,1538.85,1648.45,1618.89,1535.62,1580.37,1567.37,1493.73,1461.25,1466.24,1480.24,1437.13,1284.51,1052.87,832.697,821.265,1152.98,1205.89,1250.74,1250.08,1239.97,1224.5,1100.76,929.186,741.718,577.247,370.874,227.13,183.515,127.304,76.8869,52.5789,54.5821,80.2171,112.99,99.9252,75.0548,58.663,50.3883,63.1737,123.733,123.111,125.909,125.371,110.908,99.0274,92.1939,87.1078,90.3983,87.3503,81.3516,91.9167,108.269,109.524,77.3089,42.571,18.6981,13.3485,11.5974,13.0259,13.0451,10.8517,6.86376,2.43159,35.6697,27.422,12.6017,8.55503,12.5814,19.9454,36.0741,53.2212,70.1709,97.4805,95.0518,112.356,181.153,220.739,168.796,95.6359,49.3648,16.584,2.41835,1.49892,2.01413,6.65235,9.64865,4.77125,4.40683,6.39893,1.71271,0.0800903,0.0,0.0,0.30896,0.413812,0.122097,0.0,0.0758986,4.92397,28.6342,77.2101,113.248,98.7723,60.757,45.4856,34.2905,20.9819,19.9567,37.5787,53.5527,40.1556,22.3157,85.2883,103.859,99.9035,82.302,63.2058,54.0306,50.5134,39.0275,15.315,1.66217,0.10024,1.64713,13.8547,38.3567,60.9237,85.4945,118.79,148.323,160.842,172.035,159.314,144.131,130.397,98.1984,180.952,568.546,537.288,374.225,582.948,791.01,523.336,214.029,265.125,409.75,656.328,1402.12,1410.46,1383.85,1299.66,1617.59,296.02,378.583,986.619,1345.74,1522.82,1510.46,1172.66,635.802,569.715,1114.91,1342.88,1310.87,1209.28,1211.6,1111.0,854.652,545.728,325.446,252.439,166.411,95.382,56.5616,50.6516,60.4232,63.113,62.7628,58.2945,45.6934,34.086,35.6604,40.6355,80.5201,139.525,183.041,243.389,309.286,328.679,294.149,249.058,218.566,178.823,136.349,103.323,110.359,132.968,148.826,189.285,195.378,167.132,142.115,115.294,82.9663,61.0808,48.7498,55.2598,66.0915,102.374,144.911,216.553,273.011,280.986,245.074,207.007,160.086,109.089,30.1454,1.45146,5.61288,41.1002,102.871,146.471,198.443,199.188,169.393,130.841,117.934,131.598,149.939,99.7125,329.743,606.972,741.487,757.51,724.897,647.629,538.618,419.179,421.049,324.63,191.553,107.726,63.4906,37.632,16.5405,3.36049,0.554703,0.0,1.55358,8.38513,17.7167,21.5418,16.3808,5.01009,7.04474,16.4782,16.5505,17.4148,12.8502,7.73948,7.11929,5.16552,1.72894,0.0652285,0.0,0.0,0.477036,3.11593,29.839,97.6155,190.491,223.686,164.88,162.567,209.869,265.054,275.851,166.719,95.4232,301.336,463.873,497.47,440.924,336.206,240.588,174.99,114.891,51.563,15.0895,6.8354,2.99956,1.35528,0.0,0.0,0.0,0.545948,1.69341,2.84359,9.31902,20.7262,38.3789,27.3057,3.33161,0.0,4.61906,23.1024,55.3864,67.7068,70.377,62.6538,42.3059,17.452,3.26673,2.09432,15.1073,57.1356,127.369,244.215,409.531,535.364,542.086,441.261,380.13,341.412,335.085,204.918,102.019,84.8771,144.694,208.477,302.872,414.178,472.313,447.622,371.81,250.135,116.485,88.6256,76.1453,62.8828,52.0248,44.2916,40.0645,53.4895,96.9883,136.571,159.626,162.867,134.768,48.8796,6.70533,0.40384,0.0,1.75645,13.548,36.2607,63.1908,81.7102,77.0445,61.9857,68.4885,113.698,189.621,326.949,559.528,726.827,771.328,783.683,743.166,668.584,642.065,719.635,627.604,383.927,229.896,173.022,77.7271,19.9627,10.3819,14.3606,12.3956,9.12151,11.6252,26.5377,67.9606,198.638,535.184,895.865,1124.1,983.274,708.114,442.729,336.412,269.397,269.871,206.807,167.262,122.169,111.49,62.7733,26.1197,10.3666,2.08744,0.86943,0.1818,0.23299,0.601343,0.735752,0.635417,1.51708,11.4741,49.8199,142.59,343.868,477.304,509.096,475.307,413.747,311.055,218.234,143.767,61.6173,24.0433,1.49165,0.0,0.107354,1.34205,1.73315,1.91735,2.39099,7.30103,19.1355,94.4441,292.444,545.462,572.344,394.681,207.063,137.91,199.286,245.371,280.598,257.132,181.34,117.109,67.679,62.9805,150.258,195.282,32.065,1.3022,4.33826,18.0925,33.8819,41.0344,73.2708,183.201,397.26,622.954,655.482,543.794,374.574,261.393,255.126,187.258,133.127,136.57,130.239,125.31,200.823,208.891,113.872,49.6045,16.2359,7.39732,10.8581,20.5449,57.7733,118.872,215.785,305.112,334.013,362.819,351.58,225.159,120.08,81.6886,84.3511,91.1276,118.496,239.6,335.759,279.77,211.167,160.802,134.249,132.362,109.547,63.8524,30.9534,11.1445,3.94952,6.67467,3.42307,10.8545,37.1817,69.8731,75.0509,75.312,69.759,53.1021,22.1722,17.8445,16.2789,14.5475,15.7406,12.6063,8.68845,11.5908,10.3584,8.67826,10.6882,18.9401,46.3196,75.4842,101.392,109.489,102.529,46.5936,13.4387,8.42816,8.66314,10.0631,12.0487,17.3618,32.1647,49.4761,63.2762,92.2415,106.435,115.671,123.873,123.646,105.943,88.2104,91.8554,108.655,144.528,168.88,108.655,50.7448,37.5483,48.8062,97.4144,363.609,730.338,638.686,415.168,278.316,241.464,252.479,212.164,215.279,182.603,187.452,246.898,329.686,321.184,305.719,335.814,396.619,506.036,619.041,702.701,769.633,808.556,737.307,521.646,350.247,200.039,130.49,113.451,97.9685,109.74,162.78,228.913,249.046,222.582,204.122,385.106,816.552,1126.05,1288.22,1365.46,1388.62,1371.46,1370.58,1420.59,1450.19,1422.65,1330.05,933.861,658.35,432.163,201.325,119.511,114.769,118.23,117.552,120.996,124.311,126.168,135.361,174.978,253.315,232.897,192.091,162.312,155.167,166.652,178.383,160.135,141.621,124.755,126.009,180.621,326.668,368.862,260.435,166.151,104.004,69.3897,53.1902,35.7396,24.5402,40.0536,53.2079,49.5814,14.7998,3.05004,1.89506,0.767191,0.0,0.0,0.0,0.221221,1.35866,5.78308,22.7905,96.417,264.426,402.326,349.296,257.024,201.045,159.356,134.506,122.365,119.267,121.145,114.779,46.4192,3.022,2.37447,1.99171,0.788265,0.0,0.248236,1.22334,2.59676,14.0269,38.9112,97.6969,271.642,560.549,731.291,613.895,492.281,450.782,427.263,394.117,357.217,339.131,338.063,266.627,234.254,190.02,88.5989,29.3338,8.8204,2.21467,1.52016,0.696576,0.0,0.0,0.0,0.0,0.0,1.27701,13.1303,25.3876,35.7291,53.7455,78.784,93.9298,90.9312,81.3114,71.6535,50.7317,11.1456,0.0,10.3541,33.6872,55.5868,65.9173,69.8126,72.1156,73.7342,87.6423,138.377,301.961,512.901,569.732,416.665,290.592,203.17,128.373,89.077,68.0584,67.1779,64.2435,60.2505,53.2889,19.5767,16.0293,16.067,13.4094,8.05516,5.0631,7.53196,12.1461,15.2309,19.3027,32.029,51.9178,95.3587,187.996,288.72,352.513,350.033,360.465,389.591,398.015,372.32,308.798,246.771,167.447,54.9986,31.8294,13.7242,6.01801,5.74431,7.42226,8.33374,11.1925,17.5484,28.2909,39.451,42.7438,33.3493,20.7146,17.2592,18.6788,26.5078,52.6454,97.5899,138.274,136.199,92.7989,47.3469,20.1972,7.29791,16.1053,116.847,218.793,265.445,276.057,249.846,198.069,127.479,71.1356,30.7543,13.9413,18.7789,74.8276,169.327,253.684,308.446,365.452,399.228,420.415,509.028,605.941,393.071,203.492,94.5419,47.8828,73.7584,127.395,141.27,131.934,128.69,135.305,157.237,152.941,96.5795,29.4069,13.3708,56.4083,80.5065,54.7627,33.0571,19.9263,15.4491,15.2883,17.6839,18.6993,17.9392,14.9166,2.01116,0.981022,2.43067,6.39095,9.47984,14.9171,20.5756,28.1754,32.7781,29.8107,20.6558,15.642,13.0123,12.8881,13.5079,11.3799,7.4664,5.14362,4.37335,6.93686,12.8439,20.1393,36.8869,33.1588,11.5844,7.92296,10.3356,6.17718,2.46747,2.57942,4.67136,7.74208,9.28879,7.74208,4.69049,4.93353,10.0991,17.2228,20.8139,16.5745,9.77447,12.1633,21.2849,38.1591,49.4673,56.1983,57.8298,59.5378,40.2352,143.058,347.907,528.541,682.703,720.514,682.209,650.511,623.273,576.911,507.308,432.702,468.885,592.796,540.468,418.655,427.894,499.757,471.982,522.762,530.184,450.771,395.183,477.462,570.619,419.349,236.431,181.009,198.995,198.007,198.741,245.367,320.148,392.62,443.681,555.887,598.035,443.296,338.056,271.372,224.759,200.238,167.61,137.935,119.108,107.697,98.7246,68.1733,45.0361,17.9697,17.0271,16.6983,14.6254,9.84098,3.14342,1.65654,0.620768,0.0,0.0,0.0,0.0,0.0,0.779498,2.28355,12.7494,22.9734,43.0844,60.1558,72.6754,83.6416,90.4377,83.902,35.5139,18.0066,23.0746,35.2705,37.415,40.5992,35.8428,20.0269,14.0267,13.062,16.199,15.6953,10.041,2.37397,1.15464,0.494141,0.284025,0.871319,1.75487,2.18726,2.40542,2.30251,2.27915,2.3274,1.72801,1.55246,2.03145,2.44202,7.19577,13.8724,23.0676,42.913,67.3008,106.148,139.491,174.447,333.003,911.717,1043.6,651.612,384.048,235.886,133.492,108.137,107.535,112.07,121.47,98.689,119.979,178.508,234.808,258.905,321.52,420.193,583.402,786.253,908.1,987.884,975.824,922.734,699.633,445.8,205.359,104.018,60.6877,43.4977,40.5495,43.2128,38.7379,25.5644,16.2005,8.83538,65.9594,202.482,295.205,328.414,316.845,303.666,311.564,316.27,319.977,333.499,351.479,345.995,314.987,361.032,323.654,229.21,128.428,71.1075,44.6892,24.3199,11.9758,1.83686,0.0,0.0,0.165746,13.5859,34.0535,64.9693,105.375,127.466,135.138,138.836,142.604,145.027,154.165,165.517,181.375,228.614,220.831,147.199,91.8843,51.0281,21.5407,10.1348,1.86008,0.466849,0.494562,1.21349,1.12343,35.0778,136.635,168.482,199.304,254.776,362.267,479.43,588.208,612.692,535.966,378.068,223.754,155.968,110.836,86.6912,84.5534,86.5315,87.6928,88.8186,106.284,109.725,114.068,88.6812,90.0903,179.846,141.536,100.283,67.7816,54.5243,49.8818,49.2972,53.7874,59.8582,64.0599,81.1998,123.579,194.553,237.206,222.441,165.738,120.809,92.3447,63.5756,44.3808,22.6493,12.7465,2.29217,0.0,2.0971,13.5516,20.7825,38.8455,53.5588,64.3339,76.9037,90.5537,105.81,124.678,160.969,202.358,243.86,213.814,136.585,79.9208,52.4594,38.401,24.8061,16.3338,9.90774,2.28846,0.686471,0.0,0.954452,3.61318,7.5837,10.0135,13.0229,17.9661,23.7457,25.2363,22.2079,34.1886,52.3008,82.2601,239.013,419.639,408.486,290.624,71.3845,0.617304,0.327719,13.5748,50.9917,89.3851,103.48,49.4934,101.546,294.563,338.265,367.602,395.346,429.002,474.627,516.414,500.127,424.745,320.922,252.852,189.085,126.973,98.9961,71.7797,38.4778,8.88219,1.89536,2.11221,8.23775,24.136,45.5715,19.7342,12.7486,0.858396,0.0,3.75759,19.6093,37.8313,48.1816,46.199,33.906,20.3981,37.3147,206.836,640.35,748.521,586.344,590.496,644.157,575.476,514.362,583.128,410.537,263.57,141.684,120.248,98.7512,53.5165,29.6181,17.983,13.8887,11.3633,10.5744,9.42598,9.63992,19.2778,69.7546,251.673,705.727,1068.47,1024.5,937.938,773.242,489.355,309.279,232.284,208.033,218.807,185.688,134.349,396.084,525.076,505.59,531.823,650.178,752.535,712.58,616.807,558.538,570.422,630.836,873.59,1045.51,983.717,898.094,779.001,651.498,545.571,438.508,370.224,387.538,358.146,177.684,82.8208,149.366,165.112,103.643,42.6561,12.5396,1.90813,0.157199,0.0,0.0,1.9856,90.0925,521.733,981.396,1103.85,960.608,750.216,603.431,515.061,425.123,312.027,223.591,154.841,103.134,98.0183,146.424,229.22,250.345,255.062,217.994,176.334,170.77,226.88,399.84,772.573,1123.78,879.104,727.502,624.604,495.581,385.478,255.957,163.086,121.721,92.553,62.1458,56.6445,20.1717,15.9732,87.1946,194.285,297.505,312.85,209.828,112.954,54.571,19.0627,9.63859,8.67694,18.9256,67.7202,191.072,322.238,366.326,335.641,230.018,123.796,53.9643,12.2524,2.21559,2.13875,2.23941,1.0655,1.53055,2.02072,1.40801,1.03501,3.03886,22.4449,61.2497,102.614,135.728,196.231,303.089,428.896,546.929,433.493,289.416,235.303,205.767,154.079,125.701,102.22,67.1931,47.9876,26.4571,23.2659,22.5869,19.1025,13.3862,9.07056,2.503,1.10649,0.0777399,0.0250647,0.420128,0.949567,1.87603,4.14154,4.58175,7.12583,10.4451,14.3538,24.2733,51.7121,76.0015,96.6254,106.534,106.534,62.546,37.5086,8.08495,9.71303,31.3299,70.4119,91.8823,93.2774,86.8321,68.2629,46.8657,20.1422,8.80776,2.42462,6.05608,9.96784,13.8871,19.1726,26.2106,36.4831,35.6329,17.8351,6.16035,2.67483,10.0397,44.4556,104.405,178.435,254.682,297.166,306.742,311.141,321.605,292.099,239.78,167.172,93.3739,49.4364,64.3651,70.2766,58.1544,48.2124,38.787,26.2936,20.0692,17.3722,11.3539,4.92789,2.45828,2.15561,18.063,53.9138,93.9076,139.917,126.734,90.8716,61.8659,25.5001,5.3033,0.834897,0.0,2.90342,65.0869,162.727,255.61,331.348,390.024,407.453,396.622,385.406,410.152,425.49,230.681,48.8924,243.265,302.404,84.2582,138.007,232.229,265.668,274.323,455.655,283.277,109.077,116.494,178.911,320.116,382.91,356.356,260.231,127.458,52.3067,20.1776,20.6316,23.9248,19.3453,11.4698,8.07636,9.73146,17.1945,43.4069,57.869,48.3585,29.838,18.5301,12.7693,6.77576,3.51594,13.0223,44.9027,100.16,137.872,142.162,133.359,99.1702,84.5177,137.293,206.681,211.882,210.95,168.02,155.011,233.572,331.306,320.442,244.787,184.313,134.502,115.925,118.991,135.137,159.255,127.647,99.2156,125.291,149.217,164.189,150.472,132.52,118.153,109.445,103.117,94.9405,73.6822,43.5721,33.1562,21.6767,15.4071,20.1337,39.8369,40.7006,30.547,22.9519,30.9399,45.9172,63.1298,75.6653,85.3523,105.545,123.912,121.146,110.189,99.124,72.4061,50.7568,36.168,31.7001,36.8396,32.3953,16.0089,35.4427,26.1158,15.458,9.02439,10.1313,17.0235,38.783,76.9371,140.753,267.714,395.699,419.917,547.848,568.289,495.036,456.246,429.456,405.507,384.887,364.267,327.304,310.426,212.927,188.187,138.65,70.425,20.5763,3.49741,0.895474,0.0,0.0,0.259884,1.4989,5.78196,19.1638,68.503,183.929,303.617,375.672,415.884,462.574,523.794,499.908,593.541,422.89,319.749,222.634,230.78,127.917,41.8355,2.1222,0.0,0.684933,1.4188,2.1531,3.79337,6.49428,8.83869,13.5056,36.6819,86.1825,134.555,165.117,174.735,196.029,226.427,251.668,265.191,266.949,262.051,178.512,142.234,94.8433,32.007,12.1024,5.28367,2.08832,1.47999,1.21516,1.05804,1.11041,1.61159,8.6913,85.6996,388.226,677.385,821.453,993.121,956.942,857.592,642.515,458.621,318.871,188.824,131.294,104.829,99.4013,92.0975,62.4284,25.8656,6.66598,1.51403,1.40614,1.95715,2.48191,5.26692,8.5863,24.39,97.0463,219.941,357.255,477.259,616.737,678.5,677.472,668.816,647.306,600.124,368.97,309.312,237.032,113.038,32.9758,7.9023,1.63345,0.661384,0.502452,0.946786,1.41726,1.65481,1.39664,1.48237,7.40061,18.8336,17.1317,10.4167,5.42521,3.13505,11.4915,50.4462,90.7676,100.709,68.1396,38.8289,25.0829,11.5907,2.44483,3.95071,59.9445,372.896,1057.72,1411.87,1027.5,767.493,679.48,511.192,436.62,333.884,244.475,170.894,123.271,88.4378,63.2215,48.573,35.8942,21.6184,12.0783,9.61866,114.8,291.203,592.859,843.938,983.194,1078.44,1150.02,1089.9,913.915,780.001,729.64,666.566,677.206,440.057,200.283,72.2933,18.286,3.64896,1.41,0.824326,1.03973,1.2546,1.54245,32.4742,161.882,260.239,336.552,379.834,420.571,478.871,479.831,441.11,381.938,307.974,261.917,245.942,391.685,333.296,145.181,105.605,85.456,89.0432,90.11,64.7973,42.1201,19.5329,13.</t>
  </si>
  <si>
    <t>1.54262,1.3997,0.966489,0.569377,0.587427,0.948439,1.08885,1.31752,9.72278,33.9844,44.8329,43.2159,32.4344,30.2422,37.2864,44.2056,50.9723,54.27,49.1491,42.8853,38.089,39.4593,44.2557,49.0588,71.4544,93.9674,113.756,99.5798,87.3966,101.949,99.5158,171.834,321.792,533.104,736.191,873.387,823.177,604.598,473.151,378.618,184.159,76.3173,36.4286,17.8431,10.2547,3.42946,2.12249,7.66754,12.4776,18.6199,19.5616,15.4232,14.63,16.8542,30.8027,36.392,42.9601,45.7579,52.8071,58.3624,53.2626,36.1854,26.2289,32.5037,49.749,72.8509,90.7257,95.2163,94.5748,77.6849,57.0123,40.1977,30.6007,25.8462,30.9895,40.3096,58.5706,89.353,65.1045,83.9387,153.708,182.42,180.827,165.254,102.491,68.1312,40.673,32.4614,31.8126,30.1012,28.4361,42.5716,76.356,86.1413,77.8963,65.7076,55.5579,43.5538,38.0578,42.903,55.7874,69.1664,42.5418,27.1935,138.758,270.44,310.582,306.894,231.252,134.928,150.296,271.865,307.197,261.717,262.274,307.614,332.724,259.025,186.653,162.49,133.756,105.506,92.1822,104.351,107.296,97.6567,67.2032,38.4267,120.035,206.533,231.91,219.346,176.246,123.015,119.546,143.227,152.528,135.295,100.36,74.3259,49.4618,28.784,9.16199,1.69073,3.42512,6.03094,4.16133,1.49507,1.56921,5.63362,7.17546,4.70466,3.79641,6.3127,7.41036,6.40989,4.1231,1.30043,1.05406,3.09058,10.0188,14.793,21.7214,27.2483,30.7221,33.8572,41.8171,58.1669,78.0149,98.5032,130.501,136.612,124.39,114.422,102.192,87.7998,101.645,96.8121,101.739,95.6587,77.9473,54.396,75.5389,153.77,289.054,425.949,534.092,574.77,542.397,494.631,431.568,361.576,315.633,313.914,292.341,361.391,332.683,156.437,80.4229,65.6187,116.056,174.027,152.08,126.075,105.216,50.0712,21.6839,23.4816,67.8242,230.932,541.861,734.97,634.839,704.432,649.652,498.806,260.461,250.413,250.413,217.677,237.78,243.523,180.118,254.479,368.89,323.274,238.594,159.901,114.608,59.2854,35.5888,67.7285,150.079,274.825,378.453,403.642,337.052,310.191,176.26,140.521,149.666,144.153,115.727,121.818,145.168,161.412,154.659,190.147,190.147,148.267,93.256,44.5656,29.1708,21.1164,47.0411,167.78,350.463,427.546,391.033,411.318,313.996,192.787,156.245,200.393,252.176,270.586,236.076,175.796,105.401,48.6527,14.1216,8.91592,2.70909,8.56232,27.7906,66.8886,118.251,213.905,484.5,726.858,420.407,236.224,203.741,227.512,237.009,224.464,195.883,194.093,187.129,210.645,218.203,246.12,256.938,252.91,502.678,562.092,500.891,439.993,431.018,447.333,446.968,437.557,363.327,299.178,198.561,163.746,137.955,97.0028,68.4717,43.7898,39.5644,40.2581,39.1626,28.7247,14.9371,9.68546,5.30913,1.64686,1.54891,0.072618,0.0,0.0304154,2.12361,13.941,34.7414,59.1087,108.541,157.335,160.41,154.259,150.159,152.209,153.234,144.008,142.983,140.932,128.631,103.346,79.5228,60.2071,59.5632,63.8643,146.061,397.884,829.435,1155.07,1333.99,1281.87,1205.19,997.283,592.642,350.896,244.727,168.162,111.02,94.3361,95.0931,87.3636,72.0218,50.7562,55.4686,70.52,83.5971,86.301,76.7345,67.0376,98.5437,399.386,513.861,506.213,478.757,454.271,397.797,300.592,152.984,104.489,97.6545,72.0838,42.4335,27.2841,14.8099,9.12911,4.8953,1.98426,1.19717,0.485218,0.0,0.340651,1.53096,6.56288,18.371,60.54,134.897,151.063,156.311,163.988,170.109,134.811,82.3909,82.5121,121.874,215.394,307.504,355.519,379.059,422.828,446.014,527.206,622.525,565.334,535.344,353.002,214.207,160.016,167.938,340.962,425.303,706.661,1092.61,1219.95,1154.06,785.716,352.184,303.438,394.521,332.931,232.173,206.718,157.607,84.7146,49.8082,69.4545,96.4013,83.0993,68.7703,55.3235,127.934,424.382,586.522,832.814,1011.3,1200.03,1355.14,1397.28,1376.34,1169.88,659.489,379.608,257.841,254.301,229.984,191.568,174.115,127.509,110.937,105.735,136.653,141.83,120.28,92.2674,65.5776,44.2743,42.5495,53.1266,80.9351,93.9953,96.8609,94.709,90.1168,85.1958,76.372,119.657,196.66,286.48,329.365,315.02,278.701,228.946,184.348,145.074,113.035,84.2772,60.2639,73.7636,135.238,163.213,181.105,230.472,288.919,506.016,838.985,900.759,804.49,785.43,1048.37,1251.62,1339.89,1363.29,1413.6,1179.19,1218.92,933.726,644.595,566.62,506.371,424.914,468.837,332.859,150.43,54.7256,13.8656,26.9366,17.9908,11.6426,15.8799,13.0808,7.47158,6.19276,6.67093,18.2238,98.5994,260.86,290.672,293.291,288.333,345.882,327.86,153.829,158.235,164.724,160.833,171.093,217.066,188.534,184.544,277.737,735.747,1210.5,1360.93,1217.28,891.28,560.698,434.087,454.355,455.595,419.693,352.828,343.173,292.902,241.114,209.618,177.434,182.032,170.017,104.226,85.5546,83.0751,66.1949,59.8385,42.1977,25.4219,10.5122,3.98341,4.41867,9.49661,17.1581,24.9156,21.9459,14.1753,8.94156,3.40058,1.17688,0.485359,0.158774,0.0,0.0,0.0,1.13354,9.25519,27.7776,51.6346,72.4422,99.1887,108.197,108.486,82.7669,56.7565,49.5436,44.7498,40.9558,33.8504,27.7436,39.9459,86.1168,107.914,90.4695,101.629,124.133,146.112,158.515,167.816,192.432,272.094,329.823,329.103,277.288,217.131,170.803,209.318,208.317,170.839,140.192,146.491,175.713,157.864,132.746,133.681,168.662,174.534,121.004,65.9899,38.2412,38.2923,41.1606,39.1342,37.7973,39.9258,32.9471,25.6196,51.6204,42.3631,23.4516,44.5834,82.1372,108.271,106.928,98.2216,83.017,55.1945,49.2003,44.07,30.6656,13.0229,4.43456,1.08596,0.0465864,0.0,0.0,0.0,0.0,0.193816,0.450922,0.781709,1.31206,4.75994,16.0125,34.3999,43.2226,54.1425,63.0593,69.4886,82.6734,92.5223,107.674,135.529,141.554,118.303,93.0837,71.5891,48.1405,43.9983,40.8972,31.1332,21.288,14.7056,12.0662,11.197,11.9304,10.8148,8.09247,6.84607,2.69447,1.10189,0.647671,0.412394,0.973437,4.11424,14.6409,28.4714,27.2126,16.2054,9.70297,5.48884,5.65469,10.2121,14.7741,19.6857,25.5968,38.8097,45.7639,41.6959,31.5711,14.9731,9.41815,33.0399,55.202,74.5831,89.0469,92.2425,55.812,45.6762,112.103,219.625,295.409,276.218,234.386,169.352,155.24,177.825,189.392,171.521,85.0855,52.9946,35.6909,18.5102,13.162,7.77973,11.4453,23.1735,33.7083,36.0652,32.6484,28.8899,23.1942,16.3486,9.58351,1.92901,0.415516,0.0,0.146371,1.41949,9.29033,21.1644,44.4364,78.1667,102.92,122.743,111.002,87.6785,77.7868,77.1863,76.4957,140.322,184.845,287.867,385.47,438.232,365.917,406.014,507.575,602.958,569.294,441.265,273.962,221.597,209.796,240.139,300.471,354.056,412.325,483.684,629.471,696.629,656.853,593.279,577.75,631.403,827.103,1005.95,977.79,980.759,1035.68,1116.67,1286.06,1370.31,1371.65,1360.51,1344.81,1278.88,1137.08,1152.53,1096.48,1047.03,960.104,885.803,784.753,649.275,477.882,308.434,264.641,152.071,140.482,199.768,202.119,148.002,151.01,189.549,214.671,197.442,180.409,157.201,116.525,85.9234,99.988,209.901,349.994,445.59,481.625,620.105,561.678,452.873,329.934,513.31,728.298,645.133,497.662,444.107,474.628,521.213,548.468,405.565,196.284,80.4078,31.6155,14.1573,9.20385,5.28651,1.02783,0.0621114,0.0,0.0,0.0,0.298245,0.699992,0.737724,1.15492,11.7327,16.276,22.5928,25.8463,23.6461,23.5679,29.3846,30.8596,19.1737,18.019,26.7517,38.5658,54.8421,69.1575,71.1911,56.3436,35.7185,15.7237,6.73116,1.17243,0.352819,0.0,0.0,0.0,0.0,0.629798,32.5888,64.0607,88.0733,98.1831,88.6111,55.7839,31.8125,31.3573,35.2094,44.9061,71.127,96.3409,126.687,137.966,132.061,130.009,133.087,140.268,133.475,115.342,99.1336,79.8389,35.0794,102.775,393.329,529.063,647.625,729.158,743.421,658.328,833.666,1004.84,980.961,982.492,843.123,1030.4,958.47,604.74,670.918,633.953,610.003,527.692,816.095,1125.54,963.477,854.293,766.84,834.648,1008.91,1273.57,1428.27,1507.16,1606.21,1659.87,1739.7,1865.76,1857.6,1393.76,643.622,338.343,89.7746,10.6412,19.6977,99.041,195.836,333.658,615.602,940.659,969.022,1199.73,1459.8,1725.5,1701.11,1641.32,1541.61,1462.56,1405.92,1200.86,915.417,865.567,867.591,868.974,836.007,771.901,815.41,845.42,890.436,761.391,416.752,289.413,157.586,103.763,109.807,153.906,603.476,590.797,494.579,441.72,393.565,379.34,387.469,339.109,205.554,127.215,95.6582,77.0734,59.7253,46.8065,38.1642,22.948,9.75508,1.56886,0.367539,0.0,0.0,0.0,0.352032,1.33194,7.76545,10.2994,15.993,20.932,20.0611,20.6348,22.0008,28.9208,40.7305,55.4966,65.4505,66.9948,63.3203,55.7235,46.0722,36.08,26.7436,21.2109,18.4445,17.7529,17.7529,18.1294,19.5449,12.6241,2.66522,1.03987,4.32821,5.11795,5.34912,4.18042,4.03721,2.09332,2.47417,7.45405,14.0092,28.208,42.7699,67.8204,94.207,112.853,130.412,157.211,185.909,227.826,287.324,361.926,437.739,474.148,760.446,844.49,696.588,489.168,319.027,249.544,225.167,194.443,178.515,212.185,270.603,298.491,298.491,275.644,213.351,141.981,83.0403,43.7925,28.6492,22.7984,12.2089,4.96329,1.28368,0.736922,1.19872,0.722536,0.82461,6.78534,17.8648,27.0496,25.0085,16.9876,12.8248,8.87504,3.5582,1.00391,0.0,0.0,0.0,0.611726,1.62776,4.83526,4.70052,2.37982,1.59648,1.68126,4.01358,4.39408,7.47777,9.14074,8.07978,5.58918,3.98228,4.55685,6.13692,6.74647,5.53951,2.85462,1.56589,2.30862,6.95906,13.3638,27.6681,40.123,44.3182,44.4026,40.0154,28.6744,11.4633,1.34826,0.221374,0.146062,1.06163,1.57746,5.20528,9.4624,13.0114,14.4252,13.2773,13.4588,34.9571,75.0825,98.4767,122.944,151.863,168.676,152.702,101.301,59.374,34.8544,23.4618,16.528,12.2942,9.2441,9.38935,7.86886,13.9849,20.7659,30.0133,42.7178,46.2798,43.1434,35.3341,26.6374,31.8605,56.1303,96.2381,130.504,137.647,113.154,87.4928,61.1935,50.8203,58.5141,63.0022,62.4504,70.147,90.0298,104.626,89.4017,83.0621,363.076,705.072,723.404,700.901,573.264,302.42,90.4754,63.0061,163.316,230.684,214.24,177.088,169.343,183.903,124.082,91.0222,138.571,171.289,190.715,204.591,194.493,186.534,143.975,91.8611,27.4672,1.46873,0.0,0.0,0.38939,0.729454,0.840139,1.22497,1.61097,5.42221,12.396,27.4676,45.8217,72.2531,81.3776,75.663,63.4296,48.6914,40.5405,33.991,27.0969,20.8922,12.9078,8.64404,28.6943,51.3134,64.7689,78.9308,95.2732,92.9072,62.393,61.755,86.4952,159.649,158.904,101.01,79.9842,49.8866,27.7919,13.3111,11.8696,12.302,11.0046,12.4574,14.3497,14.7825,13.4267,9.89616,20.6734,48.3291,97.8962,149.721,164.243,156.999,135.118,86.0549,66.7526,71.4849,111.456,204.552,318.686,366.025,312.431,210.161,110.43,52.9718,32.2213,37.0012,62.3632,109.907,152.367,141.042,298.051,283.761,170.421,118.692,94.8246,75.6343,48.4124,15.6119,13.9156,30.1838,74.6322,214.923,444.9,642.175,533.417,284.541,137.003,87.204,98.0722,109.677,95.0086,71.9829,41.0751,22.5195,26.7342,68.3074,139.968,144.972,121.606,98.8594,77.0388,30.4441,3.5707,0.0,0.0,0.83823,1.46726,1.93219,4.38534,8.85675,14.0489,24.3674,37.7477,67.7145,140.61,256.815,328.354,353.013,452.297,485.721,490.588,407.521,220.809,89.3508,87.6459,162.342,337.198,555.918,827.265,795.482,696.845,692.071,515.982,333.593,267.569,148.456,54.962,24.887,24.2052,44.092,42.1017,60.4067,95.2169,155.492,241.635,332.708,381.438,363.818,303.808,223.914,268.482,281.127,211.157,133.822,88.1855,75.4886,75.4886,76.7723,76.7723,77.4142,71.7182,59.5185,42.9209,24.7073,7.31788,0.961009,0.0,0.0,0.481421,0.962883,1.6074,5.9034,7.07406,7.12026,4.32137,0.796612,0.0,0.0,0.981167,9.60781,22.4963,28.074,26.0134,29.8274,32.9193,21.2388,14.4562,18.4436,29.5535,27.9005,59.6972,80.7321,96.8719,108.136,113.987,104.047,89.6785,58.5816,69.3706,107.996,163.132,196.993,227.837,252.723,281.839,312.076,285.143,270.737,247.294,228.576,260.253,264.573,292.526,363.432,361.566,283.374,165.335,79.5619,50.8681,64.2902,46.734,21.0185,7.72329,5.30226,16.2771,59.6128,109.676,111.053,85.8634,55.9639,38.2879,26.0116,15.4664,8.72523,3.67048,3.53643,13.2059,34.8216,55.2594,94.8432,125.97,137.508,106.872,73.4911,42.7775,19.0955,5.46513,1.40755,2.61937,8.25974,11.1638,9.73478,6.27239,5.13293,3.83391,1.95753,2.68827,6.60483,9.20523,9.06076,2.07364,0.327587,0.0,0.0,0.0,0.0,0.0,1.08781,1.21439,6.52888,12.0327,40.7847,103.896,141.57,115.378,226.896,783.763,801.329,651.675,758.437,1043.82,1348.68,1523.42,897.94,508.348,854.424,1113.38,1106.16,1126.07,1140.45,1199.68,1301.7,1292.28,1006.61,760.99,609.164,451.801,369.87,364.878,331.547,282.093,224.168,166.796,123.638,91.8927,69.9408,49.3594,43.9888,63.0161,40.9574,27.6639,32.3176,37.3328,41.0163,39.9899,43.4114,43.171,20.6844,4.61357,1.1533,1.30045,5.27238,14.0177,32.3928,38.6504,35.5434,28.3302,17.2793,10.4596,5.07746,2.47108,1.55088,1.25274,3.15328,14.0049,23.7206,34.829,49.0875,71.8487,69.304,38.8368,6.01717,0.0,1.66608,14.5365,35.5521,45.505,49.5719,52.7781,58.5494,61.1144,61.225,65.0742,92.8162,101.803,104.157,71.496,60.0164,72.5316,61.1446,32.5469,10.5071,1.57721,0.988634,0.901034,1.51221,6.78974,11.5793,13.7766,18.324,24.9172,23.9632,26.0807,35.4125,40.2542,42.3116,57.1948,81.555,89.8888,89.4287,51.7118,57.5586,143.233,249.828,327.237,405.173,485.057,453.743,324.536,233.249,171.855,159.188,135.4,144.186,150.926,168.789,173.679,185.636,160.738,105.924,67.3757,40.9304,13.768,1.64298,0.733059,1.08344,4.24882,9.3399,34.6842,69.0714,34.5522,12.1031,11.4216,4.05925,0.0,26.0733,69.4874,65.7547,39.5526,27.9285,19.3814,13.2576,19.4218,37.5907,61.1146,91.4363,100.722,102.004,92.882,67.3058,27.8355,14.7658,16.0099,26.8344,43.8092,76.9883,115.917,172.392,246.824,356.084,352.178,293.315,258.04,239.212,194.853,173.146,151.682,144.35,149.459,121.873,97.3467,128.003,184.0,189.676,159.536,112.188,87.2184,76.7467,79.7321,102.071,148.791,168.783,126.87,128.199,203.656,298.978,373.166,551.578,532.351,425.297,453.897,763.688,973.201,944.738,954.996,1057.49,1256.81,1300.29,1223.88,1138.22,1023.18,947.002,958.937,917.056,859.81,857.609,740.127,612.83,508.355,371.828,209.991,130.297,92.9159,69.729,63.2618,63.3472,51.7022,44.2344,47.2451,54.9328,57.0828,38.9952,25.7636,18.7563,17.6577,22.1329,28.3292,31.8132,32.2561,25.4672,20.3806,22.1402,24.9037,29.3943,33.5394,36.6483,29.7397,21.1039,16.9918,15.2987,12.6786,9.49428,8.92465,7.75871,6.0946,5.33779,8.36083,10.6543,12.213,16.5334,29.8571,42.5717,57.5811,71.3239,77.6181,98.0202,115.481,102.585,84.7853,76.0645,66.6061,56.4138,46.4191,42.636,40.202,40.9685,42.4135,44.3799,52.3933,66.4567,53.0359,46.8087,48.3906,64.8071,96.7107,155.457,225.861,280.78,260.588,222.829,188.842,155.212,108.04,80.7535,56.8925,51.7166,58.3073,77.2057,90.4341,93.9627,84.4492,56.3164,99.0196,110.393,83.0329,56.0818,41.8689,46.1473,67.8684,89.005,103.248,111.473,139.856,172.703,157.768,103.816,54.6968,24.7382,7.01929,1.02565,0.37022,0.388427,0.461977,0.426312,0.737566,1.28449,10.0131,13.9696,13.866,21.3356,33.1404,46.3086,73.1682,93.5786,101.374,78.9636,80.1495,85.0129,86.8302,91.8868,94.4575,85.4599,53.9681,29.277,12.3331,3.78805,1.10101,0.575993,0.847552,1.26394,1.64177,13.8197,30.1384,38.2238,40.1322,57.8414,97.3836,137.979,137.361,94.2205,126.602,282.432,438.326,406.895,292.349,234.888,183.926,151.294,158.486,163.8,188.466,199.043,161.238,226.296,324.278,292.726,246.768,230.129,223.743,266.558,397.619,616.806,808.089,857.297,765.022,739.565,680.974,575.551,442.556,344.071,323.542,319.626,298.153,237.269,166.677,119.401,84.073,42.2176,95.2724,266.788,578.085,681.696,701.344,685.218,895.52,1220.82,1390.14,1288.6,909.91,571.286,436.024,322.541,289.715,277.082,190.802,177.562,184.963,179.799,158.272,132.446,112.818,87.8652,198.13,599.5,706.939,688.978,668.087,679.859,763.82,896.067,988.838,959.192,701.968,517.318,397.373,318.145,255.873,189.32,144.029,131.163,135.799,153.681,163.204,142.699,129.271,136.619,213.484,192.709,126.863,90.1906,69.854,64.3786,79.4765,113.53,175.823,220.237,250.836,284.891,276.982,238.626,209.921,162.962,146.723,143.644,98.5532,69.4667,58.4278,59.6206,53.8245,73.6127,116.451,130.179,136.816,146.45,159.788,177.394,198.463,239.437,293.47,314.785,251.063,197.536,150.644,108.657,89.6434,75.4877,56.1845,39.0477,34.2264,26.3057,19.0738,13.5369,11.0719,10.1754,18.7622,33.638,32.765,18.5768,9.57338,2.65837,1.14555,0.858729,0.806361,0.66579,0.166192,0.0,0.0,1.34344,5.73208,9.94348,14.5933,24.0276,27.8081,24.715,17.4604,17.4604,25.3062,28.2623,43.5451,45.1085,32.6555,19.2305,9.13583,6.37507,15.6065,45.9831,83.8659,92.0861,83.8062,77.7931,69.5907,59.4449,45.009,33.0232,22.3635,20.3437,24.8158,27.2558,23.8648,16.3528,11.5343,6.42808,10.2612,43.4153,82.9967,95.6877,139.325,193.347,251.256,292.337,310.04,271.289,307.159,415.857,474.797,330.133,125.084,15.9459,0.467029,1.24706,50.9922,96.4315,79.0761,45.1199,34.2121,42.692,94.7478,108.129,108.747,111.477,122.157,130.793,142.569,159.843,152.948,109.735,97.2774,101.291,89.3137,75.9531,59.9591,41.0395,24.1581,11.89,6.65676,3.45867,3.03755,4.50514,9.32565,13.4852,63.0552,101.435,152.415,205.409,261.087,303.848,346.161,393.522,409.661,284.905,232.751,234.411,216.509,142.532,85.9138,51.3382,35.7842,31.4046,36.2984,34.6115,16.6975,3.68698,1.12251,0.992445,1.14831,10.0718,64.0817,83.2171,77.0359,60.8363,48.5783,46.3074,44.9554,42.0842,59.4602,83.205,84.8409,76.1662,76.4413,91.4834,95.6224,90.054,87.6741,80.7654,68.5632,76.9121,102.601,124.969,62.5474,52.0676,170.921,183.659,130.056,99.9784,98.0814,82.9059,70.9956,74.5702,73.9863,63.6074,58.0684,56.3084,94.7977,174.062,211.503,178.042,105.21,47.0124,25.9651,19.1217,16.7265,10.8402,5.07735,6.33095,10.6799,48.5486,90.689,99.6966,105.115,98.8176,76.8626,42.0901,21.2095,28.6184,64.0979,154.424,251.085,310.828,320.289,360.704,416.732,375.13,329.867,239.601,181.595,114.339,56.0051,57.684,229.596,586.346,708.08,707.658,696.652,682.556,549.452,340.711,403.018,437.124,429.893,438.501,310.526,197.755,140.212,105.44,137.58,229.674,300.892,221.382,159.453,147.027,71.0423,34.6286,95.2178,236.436,387.901,613.292,958.349,1219.16,1173.77,1172.24,1406.66,1291.71,1136.53,688.163,488.258,459.968,260.529,170.072,200.436,486.459,709.818,491.815,642.862,418.953,174.11,536.49,1407.61,1769.09,1834.77,1799.41,1722.16,1578.26,1220.5,729.143,645.937,654.124,639.454,662.497,757.001,766.059,689.284,606.059,475.881,317.905,253.709,232.549,343.469,469.251,597.04,1768.18,1875.95,1920.12,1927.57,1927.57,1927.57,1927.57,1927.57,1924.9,1766.12,1552.88,1249.92,878.133,566.577,443.853,348.558,270.521,232.434,199.038,171.951,115.094,64.9042,28.3118,40.8707,168.95,163.12,165.297,208.027,275.262,307.014,304.877,281.868,193.963,68.8841,78.5284,127.872,182.713,184.001,211.914,265.255,321.535,339.418,310.914,239.588,173.549,84.2286,11.385,0.0,0.0,1.66549,16.5864,38.973,80.8327,95.3446,67.2991,137.468,277.831,253.231,115.718,31.3402,10.3505,8.37287,10.2513,11.5514,10.8369,9.8556,14.0339,35.945,84.905,135.857,111.166,43.0636,6.25074,0.0,0.62994,3.222,7.8537,9.24634,8.25886,5.01427,1.49183,1.05794,0.531635,0.96126,7.15399,28.0011,78.8199,136.435,176.621,188.251,193.537,171.216,105.855,74.6521,45.3144,28.5173,33.902,75.7673,157.43,298.298,596.865,833.937,1312.21,920.294,151.197,311.199,573.318,831.851,985.904,1318.14,1308.35,1124.27,896.922,941.141,790.796,607.066,348.509,281.397,151.092,186.627,148.743,142.741,173.983,185.52,231.412,347.118,469.865,504.826,436.305,301.791,253.567,165.558,84.7904,44.0731,32.2397,17.6301,7.65909,0.912093,0.0,0.376895,6.01906,13.0947,18.3674,27.8482,91.3419,135.464,176.223,214.121,249.545,254.364,222.992,162.612,69.259,43.4756,134.928,235.56,233.282,152.577,61.7075,18.5276,12.3723,25.4046,38.6916,51.4653,51.621,38.9286,31.6887,26.4506,28.5498,39.6374,80.4107,178.917,260.618,271.109,249.545,224.245,174.947,139.016,258.676,401.589,530.542,572.511,512.11,451.014,333.436,202.885,138.136,111.277,144.008,177.368,106.169,159.871,174.538,189.576,338.975,649.54,770.47,691.866,726.117,895.088,1276.27,1527.84,1444.54,1272.0,1335.96,1313.92,1216.7,1173.82,1180.42,1198.9,1141.98,974.084,796.599,633.59,625.259,873.305,913.843,948.205,947.702,939.954,928.103,833.289,703.909,567.288,440.247,278.384,168.96,135.433,92.1686,53.2597,36.1652,37.5007,55.8297,81.1218,71.0392,51.8458,40.2212,34.7048,43.2284,89.4124,88.9324,91.0917,90.677,79.515,70.3464,65.0727,61.1475,63.687,61.3347,56.7053,64.8588,77.4785,78.4466,53.5853,29.4933,13.4469,9.55626,8.28275,9.32165,9.33563,7.74045,4.84011,1.62106,24.8924,19.3939,9.01312,6.07012,8.99839,14.354,25.162,36.5934,48.0767,69.1525,67.2783,80.6324,133.617,164.047,124.118,67.729,34.0225,11.9094,1.61224,0.999277,1.34276,4.68635,6.86548,3.31828,3.05325,4.50205,1.1418,0.0533935,0.0,0.0,0.205974,0.275875,0.0813979,0.0,0.0505991,3.42935,20.202,53.5091,81.321,70.1495,41.6173,31.4363,23.9729,15.1005,14.3623,26.1651,36.8144,27.883,15.9897,59.7434,74.0748,71.0225,57.4387,43.2498,37.133,34.7882,27.1309,10.9865,1.10812,0.0668266,1.09808,9.92446,26.6838,41.7284,59.9025,85.598,108.38,118.004,126.608,116.829,105.155,94.5554,69.7066,133.462,433.299,408.337,280.925,444.8,603.21,397.195,158.889,198.167,307.864,503.4,1095.77,1106.77,1071.65,985.689,1440.86,221.623,284.23,745.837,1021.33,1255.1,1238.8,888.383,487.008,434.232,844.138,1018.81,994.278,916.44,918.217,841.142,649.59,415.076,243.936,188.415,122.285,67.5331,38.8203,34.8803,41.3947,43.1879,42.9544,39.9756,31.5749,23.8366,24.8862,28.2029,56.0635,101.6,135.068,181.458,231.682,246.388,220.204,185.816,162.376,131.826,99.149,73.6614,79.0916,96.5394,108.767,139.868,144.552,122.839,103.599,82.8999,57.9514,41.8331,33.6125,37.9525,45.1736,72.929,105.756,160.829,204.175,210.223,182.754,153.491,117.423,78.1113,21.2095,0.96764,3.93038,28.5127,73.3126,106.957,146.908,147.48,124.577,94.8983,84.9375,95.4822,109.623,70.8751,247.195,463.986,567.119,578.797,555.029,496.454,409.399,315.014,316.431,243.318,141.611,77.0598,43.4397,26.2006,11.8777,2.29227,0.369802,0.0,1.03572,5.94656,12.7332,15.4738,11.7616,3.49198,4.97173,11.8324,11.885,12.5136,9.19386,5.47699,5.02595,3.60503,1.15263,0.0434857,0.0,0.0,0.318024,2.11441,21.0053,69.2567,140.795,166.312,121.108,119.329,155.691,198.112,206.329,122.521,67.5648,225.654,349.708,376.539,331.502,252.096,179.305,128.88,82.589,35.4879,10.8225,4.81948,2.02978,0.903519,0.0,0.0,0.0,0.363965,1.12894,1.91635,6.62575,14.9219,26.6985,19.3164,2.27127,0.0,3.2076,16.5142,38.0369,46.2505,48.2357,42.8818,29.3165,12.5407,2.22409,1.39621,10.8354,39.203,92.219,182.093,307.697,406.8,412.168,331.758,285.402,256.043,251.245,151.885,72.6548,59.426,105.589,154.621,226.819,311.221,356.448,336.731,279.094,186.644,83.8188,62.3189,52.6874,43.0345,35.7958,30.6403,27.8223,36.7723,68.7728,99.3202,117.069,119.561,97.9289,33.699,4.72489,0.269227,0.0,1.17097,9.70138,25.2864,43.2398,56.982,53.3813,42.4364,46.7783,81.6682,140.127,245.076,426.097,556.435,588.867,597.871,568.343,513.188,492.01,551.194,480.462,288.282,171.086,127.366,53.9081,14.3666,7.39878,10.2924,8.86328,6.48211,8.303,18.8044,46.4197,147.058,406.656,679.625,851.177,743.326,542.798,332.871,252.252,201.435,201.794,153.337,122.939,88.2055,79.9645,42.9614,18.5257,7.38765,1.39163,0.57962,0.1212,0.155327,0.400895,0.490501,0.423611,1.01139,8.19308,34.3259,103.965,257.906,360.434,385.823,358.839,310.894,233.024,162.121,104.873,42.1908,17.1415,0.994433,0.0,0.071569,0.894699,1.15544,1.27823,1.594,5.15812,13.765,66.8093,218.911,414.865,436.331,296.437,153.534,100.354,147.556,182.982,209.929,192.023,133.76,84.301,46.2319,43.0996,109.868,144.478,22.4892,0.86813,3.00338,13.0065,23.7005,28.4689,50.469,135.191,298.393,476.748,502.724,413.532,281.19,195.298,190.48,138.31,96.6622,99.3197,94.4337,90.6295,148.737,154.939,81.8022,34.1822,11.6562,5.22815,7.74506,14.79,39.6282,85.6613,160.239,228.517,250.433,272.276,263.753,167.444,86.5939,56.9653,59.0201,64.2498,85.3713,178.545,251.757,209.301,156.689,117.973,97.5279,96.0722,78.465,43.6809,21.7482,7.95335,2.72066,4.70259,2.33779,7.74243,25.9004,47.8468,51.8427,52.0442,47.7588,36.514,15.8941,12.8261,11.6875,10.4283,11.296,9.01652,6.16716,8.27794,7.38164,6.15974,7.62154,13.6229,31.9924,52.1772,72.1715,78.4197,73.0484,32.175,9.6219,5.97785,6.14874,7.16687,8.611,12.4751,22.5558,34.0967,43.2967,65.1094,76.0634,83.191,89.5208,89.3458,75.6834,61.9985,64.8115,77.7767,105.461,124.183,77.7767,34.9424,26.1448,33.6501,69.1016,272.875,558.994,489.311,311.972,208.198,179.979,188.446,157.455,159.849,134.732,138.459,184.156,247.152,240.704,228.977,251.799,297.906,383.38,473.623,538.854,587.631,615.997,564.073,395.845,262.743,148.135,94.6272,81.4775,69.5292,78.6136,119.493,170.33,185.807,165.464,151.273,289.176,621.824,852.669,976.924,1047.37,1077.94,1055.29,1054.13,1120.15,1159.22,1122.86,1008.97,707.316,505.015,324.859,149.123,86.1546,82.495,85.1658,84.6428,87.3007,89.8588,91.2915,98.3865,128.87,189.088,173.393,142.025,119.134,113.642,122.47,131.487,117.46,103.218,90.2011,91.1694,133.208,244.863,276.859,194.561,122.085,74.1867,47.4738,36.5727,24.939,17.4727,27.815,36.5845,34.1668,10.6118,2.0665,1.26337,0.511461,0.0,0.0,0.0,0.147481,0.905773,4.05416,16.3062,68.3318,197.629,302.234,262.021,191.939,148.908,116.862,97.7268,88.3571,85.966,87.4156,82.5021,32.0587,2.0461,1.58298,1.32781,0.52551,0.0,0.165491,0.815561,1.73684,10.0497,27.0534,69.3196,203.137,426.912,559.689,469.514,372.395,339.254,321.144,296.009,268.028,254.313,253.504,199.321,174.436,140.433,62.2983,20.6684,6.26312,1.47645,1.01344,0.464384,0.0,0.0,0.0,0.0,0.0,0.851337,9.39757,18.0377,24.932,36.9429,54.7238,66.4123,64.0982,56.6742,49.2209,34.9337,7.9542,0.0,7.37854,23.5708,38.1704,45.0575,47.8001,49.5775,50.8266,61.56,100.714,226.128,388.861,434.246,313.107,217.507,150.541,92.9936,62.6673,46.4849,45.8979,43.9416,41.2796,36.6385,14.0859,11.5059,11.5334,9.6006,5.70658,3.53054,5.32607,8.68178,10.9253,13.8866,22.4653,35.7245,67.5151,138.877,216.087,264.461,262.58,270.491,292.577,298.965,279.481,231.312,184.058,123.081,37.7784,22.3322,9.82955,4.22502,4.02596,5.24629,5.90919,7.98829,12.6107,19.9732,27.4133,29.6084,23.3454,14.9134,12.4004,13.4328,18.7844,36.2096,69.237,100.635,99.0334,65.5396,32.6772,14.5372,5.15585,11.5612,84.0986,162.551,198.413,206.485,186.422,146.62,92.3036,48.8212,21.6155,9.98738,13.5057,51.6704,124.526,189.372,231.045,274.273,299.884,315.951,385.769,463.162,295.216,150.789,66.8847,33.0344,50.8453,92.2388,102.947,95.7413,93.2381,98.3431,115.232,111.93,68.4572,20.7172,9.57253,38.7181,56.0531,37.6211,23.1507,14.3401,11.084,10.967,12.7093,13.4478,12.895,10.6967,1.34077,0.654015,1.62044,4.49625,6.74271,10.6971,14.8124,19.8962,22.9647,20.9864,14.8707,11.2243,9.3118,9.22147,9.6722,8.12457,5.27839,3.5891,3.0289,4.89327,9.18929,14.495,25.7038,23.2184,8.27328,5.61043,7.36509,4.34077,1.64498,1.72423,3.24563,5.47889,6.60376,5.47889,3.25955,3.4363,7.19311,12.3739,14.9857,11.9025,6.95698,8.69433,15.3025,26.552,34.0908,38.5781,39.6658,40.8045,27.936,104.326,260.968,401.352,524.28,551.835,523.919,498.755,477.003,439.979,384.395,325.268,353.711,452.664,410.876,314.616,321.622,378.364,356.184,396.736,402.663,339.245,296.817,360.561,434.954,315.142,176.109,133.507,147.332,146.573,147.137,182.979,239.919,294.874,333.593,423.19,456.848,333.301,253.498,202.932,167.137,148.287,123.206,100.373,85.8434,77.0371,70.1127,46.5614,31.1366,12.9172,12.2316,11.9925,10.485,7.00536,2.13441,1.10436,0.413845,0.0,0.0,0.0,0.0,0.0,0.519665,1.52237,9.12059,16.4282,29.8355,41.2164,50.0095,58.4726,63.7174,58.6735,24.7885,12.944,16.4956,24.6263,26.0559,28.1787,25.0078,14.4133,10.0496,9.34789,11.6294,11.263,7.15083,1.58265,0.769762,0.329428,0.18935,0.580879,1.16992,1.45817,1.60362,1.535,1.51943,1.5516,1.152,1.03498,1.3543,1.62802,5.08157,9.93732,16.491,29.7212,45.9798,75.8414,101.574,128.462,249.667,691.177,789.494,499.634,288.374,175.691,96.9441,77.3768,76.9123,80.4121,87.6661,70.0852,86.5156,131.584,174.862,193.385,240.959,315.783,445.163,599.743,688.541,746.806,737.896,699.206,536.617,335.275,152.225,74.1977,41.5711,30.111,28.1456,29.9211,26.9379,18.1555,11.6305,6.27401,45.0855,150.013,221.005,246.187,237.414,227.42,233.41,236.978,239.789,250.043,263.677,259.519,236.005,270.921,242.577,170.559,93.0358,48.7995,30.9054,17.3259,8.55795,1.22458,0.0,0.0,0.110498,9.72891,23.8149,44.4255,75.2452,92.2937,98.2142,101.068,103.976,105.846,112.871,121.597,133.788,170.1,164.117,107.516,64.8338,35.1314,15.4731,7.21904,1.24005,0.311233,0.329708,0.808993,0.748951,24.4978,99.3697,123.876,147.57,190.212,271.857,362.132,449.001,468.554,407.281,283.84,166.365,114.257,79.4592,60.826,59.1762,60.7028,61.5991,62.4679,75.9469,78.6018,81.9536,62.3618,63.4493,132.612,103.152,71.315,46.3003,37.4622,34.3671,33.9774,36.9709,41.018,43.8192,56.5881,89.2935,143.918,176.705,165.355,121.767,87.1564,65.1891,43.4963,30.6998,16.2121,9.11849,1.52811,0.0,1.39806,9.70399,14.9629,27.0096,36.8184,44.0018,53.2727,63.8069,75.5804,90.1421,118.101,149.917,181.82,158.724,99.3307,55.6011,36.0855,26.7133,17.65,11.7274,7.05391,1.52564,0.457647,0.0,0.636301,2.47605,5.3637,7.13086,9.31947,12.9145,16.9431,17.9368,15.9178,23.905,35.9798,57.4064,178.094,315.362,306.905,217.531,49.0132,0.411536,0.21848,9.72083,35.1071,62.9051,73.7825,34.1082,72.2901,220.518,253.657,275.903,296.941,322.462,358.297,391.667,378.66,319.234,240.506,188.732,139.714,91.9132,70.3222,49.3183,26.7645,6.30805,1.26357,1.40814,5.83937,17.2032,31.4936,14.2004,9.11999,0.572264,0.0,2.58108,14.1096,26.3335,33.2337,31.9119,23.7166,14.6833,25.9891,153.359,490.64,572.246,447.512,450.828,493.681,438.833,390.028,444.944,308.46,196.971,103.266,86.7234,70.1332,36.7903,20.858,12.9268,9.94915,8.1125,7.53873,6.70354,6.85913,13.8685,47.7554,187.827,541.059,808.555,774.86,710.286,590.262,370.058,231.677,172.921,154.28,162.562,137.103,97.6057,297.5,398.584,383.023,403.972,498.489,575.171,546.053,471.839,425.307,434.797,483.043,663.391,790.963,743.649,681.25,594.458,499.544,414.951,329.671,277.891,291.02,268.733,130.95,57.8391,109.182,121.286,73.9085,29.55,8.96799,1.27209,0.104799,0.0,0.0,1.32373,63.4509,395.915,741.957,835.658,726.807,573.481,461.157,390.586,319.521,233.761,166.24,113.391,73.5156,69.5676,106.92,170.566,186.806,190.431,161.937,129.912,125.635,168.768,300.349,589.774,850.927,667.41,556.927,478.066,375.03,289.458,191.119,119.729,87.86,65.3498,42.5431,38.8756,14.5186,11.4652,61.2145,143.711,222.749,234.385,155.66,81.094,37.4933,13.7121,6.85816,6.15879,13.6124,46.2594,141.242,241.504,274.935,251.667,171.18,89.4615,37.0888,8.75911,1.47706,1.42583,1.49294,0.710332,1.02037,1.34715,0.938675,0.690008,2.05836,16.0759,41.9457,73.114,98.6695,145.207,226.983,322.382,416.036,325.868,216.615,175.242,152.538,112.805,90.9314,72.8104,45.908,33.1043,18.7507,16.6232,16.1705,13.741,9.58372,6.44505,1.66867,0.737663,0.0518266,0.0167098,0.280085,0.633045,1.25069,2.86031,3.18046,5.0307,7.44471,10.2874,17.2948,35.5873,52.5764,68.4927,76.1398,76.1398,42.8099,26.1183,5.72824,6.9123,21.9992,48.2627,64.8323,65.9089,60.9348,46.6212,32.3564,14.4972,6.25392,1.61641,4.25271,7.09762,9.94799,13.792,18.5863,25.4347,24.8679,12.8193,4.32854,1.79362,7.14986,30.7496,74.4965,131.527,190.139,222.492,229.753,233.089,241.024,218.65,178.684,122.869,65.9834,34.0702,44.0226,48.1582,39.8822,33.2542,26.9706,18.6417,14.4441,12.4826,8.10566,3.4322,1.63885,1.43707,12.985,37.0551,66.3952,101.903,91.7288,64.0522,42.3566,18.1126,3.70523,0.556598,0.0,1.95986,44.5039,119.452,190.853,248.412,292.906,306.122,297.909,289.403,308.168,319.799,171.69,33.7075,181.363,226.463,58.9484,100.428,172.879,198.584,205.17,343.146,211.96,78.1017,83.8259,131.894,239.895,287.511,267.375,194.405,92.2873,35.9837,14.5229,14.8531,17.0624,13.9176,8.18995,5.722,6.92571,12.3534,30.0505,39.6919,33.3516,21.0046,13.3247,9.13504,4.7761,2.40533,9.31902,31.0477,71.2202,100.324,103.635,96.8418,70.4566,59.1487,99.8774,153.241,157.239,156.522,123.521,113.521,173.912,248.38,240.141,182.533,136.046,97.7232,83.3867,85.7528,98.2136,116.784,92.4331,70.4916,90.6151,109.067,120.576,110.032,96.1936,85.1067,78.3862,73.5023,67.1924,50.7865,30.1607,23.2168,15.5637,11.0534,14.491,27.6705,28.2463,21.4773,16.4139,21.7392,31.7241,43.1991,52.3169,59.7927,75.376,89.5504,87.4161,78.9606,70.4209,49.8017,34.9505,25.2246,22.246,25.6723,22.7095,11.4911,24.7411,18.5231,11.0904,6.41148,7.2165,12.229,26.9679,53.2984,102.548,200.157,297.209,315.573,416.769,433.093,374.595,343.617,322.806,304.646,289.01,273.374,245.345,232.547,158.041,139.024,100.925,48.2728,14.8129,2.39186,0.596983,0.0,0.0,0.173256,0.999266,4.05335,13.7856,46.7895,135.751,227.384,282.022,312.515,348.671,397.561,378.485,453.259,317.828,239.616,165.503,171.765,92.6416,29.0029,1.4148,0.0,0.456622,0.945866,1.4354,2.6071,4.57139,6.27642,9.67053,25.5672,60.4335,97.7645,121.29,128.683,145.052,168.42,187.822,198.218,199.569,195.804,131.587,103.69,67.1173,22.4506,8.65004,3.69095,1.39222,0.986663,0.810105,0.705359,0.740274,1.07439,6.16923,60.0608,291.542,520.216,625.396,750.819,724.136,651.733,492.369,345.514,238.95,139.514,95.2475,74.8237,70.6349,64.9983,42.7316,18.3563,4.69627,1.00935,0.93743,1.30476,1.65461,3.67877,6.09286,17.3726,68.8175,163.433,268.057,360.398,471.784,521.107,520.286,513.373,496.196,458.516,276.94,231.702,176.571,81.1585,23.0964,5.59541,1.08897,0.440923,0.334968,0.631191,0.944839,1.10321,0.931091,0.988247,5.23054,13.5454,12.3077,7.42405,3.79389,2.12832,8.20572,34.7434,63.972,71.644,46.539,26.9985,17.8345,8.27786,1.62989,2.72153,41.0756,279.917,800.316,1108.63,777.162,586.072,521.889,387.497,328.239,250.335,182.293,125.73,89.0558,62.174,43.2603,33.4946,25.0421,15.5249,8.63247,6.84367,82.5186,217.97,452.715,641.782,743.268,816.19,871.039,824.975,692.779,595.187,558.486,511.577,520.073,330.845,148.322,49.7146,13.1472,2.50207,0.939997,0.549551,0.69315,0.836397,1.0283,22.762,118.803,194.411,252.358,285.179,316.069,361.686,362.452,331.644,286.774,230.687,195.701,183.421,294.165,249.889,105</t>
  </si>
  <si>
    <t>0.0,0.0,0.0,0.0,0.0,0.0,0.0,0.0,0.0,30.7211,66.5127,60.5117,26.4065,20.3047,39.9119,64.1846,77.7637,81.0388,75.953,59.2846,42.1456,46.5701,64.3705,75.8634,101.463,132.417,160.413,141.716,122.739,145.641,141.61,229.512,416.558,678.528,987.879,1141.7,1087.09,783.057,593.101,481.373,244.86,107.94,37.5243,0.0,0.0,0.0,0.0,0.0,0.0,0.0,0.0,0.0,0.0,0.0,21.865,37.4224,59.5621,69.9453,79.586,85.1032,80.0383,36.8473,9.13403,26.5994,76.5488,103.323,127.186,134.486,133.423,109.766,83.7623,49.3103,21.3028,8.06883,22.385,49.7255,85.31,125.352,93.0062,118.12,206.94,242.694,240.711,221.318,146.54,97.0372,51.0744,26.4817,24.6758,19.9125,15.2776,58.1202,107.991,121.062,110.049,93.8094,82.3179,61.7655,42.0588,59.3503,82.5458,98.4159,58.0099,11.8189,188.322,356.579,403.464,399.156,305.642,183.553,202.691,358.242,399.511,345.624,346.355,399.997,429.326,342.092,247.966,217.876,182.094,151.534,129.459,149.621,153.687,138.529,95.8012,43.0856,166.949,273.155,306.506,289.994,235.006,170.052,166.44,193.887,205.47,184.009,143.009,105.287,76.2635,16.2459,0.0,0.0,0.0,0.0,0.0,0.0,0.0,0.0,0.0,0.0,0.0,0.0,0.0,0.0,0.0,0.0,0.0,0.0,0.0,0.0,0.0,11.9716,21.6407,30.3669,55.3201,84.909,110.207,139.932,178.04,185.65,171.483,161.106,146.044,123.278,145.137,137.13,145.293,135.219,110.117,81.164,106.903,207.016,378.32,535.005,679.908,736.722,691.507,623.601,541.729,462.06,409.364,407.356,382.159,461.85,429.278,210.338,113.424,93.691,162.807,232.242,204.912,173.237,151.054,76.8688,0.0,1.48733,96.6284,305.221,690.758,985.859,830.419,935.345,852.127,629.613,343.976,330.791,330.791,287.801,314.213,321.75,239.828,336.126,470.348,418.289,315.281,214.651,161.3,86.0199,35.1868,96.5009,202.42,361.699,481.186,509.728,434.268,403.008,235.024,190.517,201.905,195.04,162.464,168.805,196.305,216.533,208.124,252.317,252.317,200.164,131.238,65.5206,17.3227,0.0,73.8595,224.464,449.466,536.814,495.441,518.426,407.452,255.605,210.099,265.085,333.104,356.749,311.977,234.446,151.36,75.46,0.0,0.0,0.0,0.0,13.4811,95.3822,165.092,282.843,609.016,972.441,528.724,312.171,269.486,300.727,313.202,296.72,259.46,257.231,248.559,278.559,288.492,325.157,339.353,334.067,635.187,719.015,632.614,552.137,541.05,561.205,560.754,549.127,464.044,390.144,262.796,219.44,187.322,137.446,97.4906,62.6416,46.9598,49.5345,45.4687,16.0808,0.0,0.0,0.0,0.0,0.0,0.0,0.0,0.0,0.0,0.0,32.8279,85.8444,154.984,211.456,215.286,207.626,202.52,205.073,206.349,194.86,193.583,191.03,175.898,147.955,112.221,86.9352,86.2957,91.3544,197.417,503.204,1093.9,1440.03,1634.63,1578.23,1494.66,1276.46,764.268,449.956,323.329,224.939,157.564,133.027,134.282,122.695,102.219,77.5491,82.2292,100.219,117.664,121.275,108.497,95.5807,139.999,504.905,651.286,640.276,600.748,569.776,503.106,391.795,206.038,149.85,138.526,102.301,57.6078,12.0713,0.0,0.0,0.0,0.0,0.0,0.0,0.0,0.0,0.0,0.0,0.0,87.2659,183.514,203.645,210.181,219.741,227.364,183.407,116.053,116.214,168.864,284.801,399.869,455.196,481.873,531.468,559.575,670.29,811.228,723.544,681.656,452.343,283.241,214.795,224.66,438.698,534.272,939.033,1372.44,1510.75,1438.93,1046.35,451.416,395.12,499.393,429.567,306.853,273.398,211.795,119.156,76.6076,98.7997,136.449,116.999,97.8884,82.0851,175.172,533.228,754.651,1097.58,1291.7,1489.03,1656.45,1702.21,1678.34,1456.17,866.542,482.495,340.538,335.893,303.975,254.086,232.353,174.73,157.478,151.914,185.701,192.148,167.204,129.6,93.6363,64.4397,58.0385,79.9032,114.108,132.463,137.211,133.645,126.373,119.799,108.013,166.555,260.428,375.313,425.402,408.648,366.227,302.611,245.096,196.188,159.661,118.572,86.9916,104.539,183.939,218.776,241.058,304.617,378.161,639.992,1104.29,1171.47,1066.77,1046.04,1329.05,1545.26,1640.71,1664.87,1725.39,1466.32,1509.62,1207.33,844.715,725.34,640.503,533.832,587.77,429.484,202.858,81.4913,0.0,11.1038,0.0,0.0,0.0,0.0,0.0,0.0,0.0,0.0,140.091,344.499,380.209,383.268,377.477,444.275,423.645,207.09,212.577,220.657,215.813,228.589,286.998,250.309,245.34,365.101,987.144,1500.44,1662.44,1507.83,1161.17,717.069,544.841,569.879,571.411,527.916,452.146,441.204,382.814,318.588,277.21,236.486,242.212,227.25,149.415,120.279,116.966,94.4584,86.5692,56.7328,6.88793,0.0,0.0,0.0,0.0,0.0,5.47851,0.0,0.0,0.0,0.0,0.0,0.0,0.0,0.0,0.0,0.0,0.0,0.0,13.4449,78.4215,102.779,141.068,154.625,154.926,116.555,83.5083,76.3448,66.2042,52.1238,30.3478,13.3502,48.3759,121.029,154.331,126.844,145.111,171.216,197.48,212.925,224.509,255.163,358.51,425.938,425.097,364.576,287.083,228.228,276.814,275.5,228.273,190.108,197.953,234.342,212.114,180.835,182.0,225.562,232.875,167.958,94.1854,42.5694,42.7117,52.8839,45.3634,41.3338,48.3012,27.8338,7.43807,78.4074,57.3464,1.40386,65.5865,115.714,154.702,153.304,139.465,116.889,81.957,76.0039,63.6812,21.4833,0.0,0.0,0.0,0.0,0.0,0.0,0.0,0.0,0.0,0.0,0.0,0.0,0.0,0.0,31.8774,60.5364,80.9122,90.2823,98.845,116.43,130.022,154.08,184.301,191.804,165.146,130.952,101.643,74.9513,63.4154,51.9065,22.7849,0.0,0.0,0.0,0.0,0.0,0.0,0.0,0.0,0.0,0.0,0.0,0.0,0.0,0.0,0.0,15.3759,11.8723,0.0,0.0,0.0,0.0,0.0,0.0,0.0,7.37462,44.1592,69.9678,54.8706,24.0037,0.0,0.0,28.0921,81.9645,105.63,124.943,129.559,82.5703,69.6424,158.691,290.361,385.741,363.326,309.759,226.421,208.848,236.973,251.377,229.122,119.652,79.7722,35.4709,0.0,0.0,0.0,0.0,0.629584,29.9526,36.5128,27.0023,16.5408,0.687364,0.0,0.0,0.0,0.0,0.0,0.0,0.0,0.0,0.0,65.0413,110.41,147.249,169.768,157.545,123.116,109.902,109.1,108.178,190.27,245.714,376.933,489.138,549.961,466.979,512.416,642.237,780.479,729.075,553.709,360.692,292.953,277.443,317.308,391.654,453.538,519.567,607.842,822.143,922.438,862.678,765.269,740.884,825.179,1091.37,1285.88,1255.25,1258.48,1316.6,1398.18,1582.8,1672.12,1673.5,1662.0,1645.79,1574.97,1420.42,1437.26,1376.24,1327.74,1236.02,1155.21,1045.3,851.575,599.489,400.955,349.461,204.901,190.47,264.299,267.354,199.834,203.579,251.572,283.85,261.402,240.191,211.289,163.295,120.771,142.392,277.582,448.934,559.051,604.878,807.424,718.437,568.049,426.067,650.493,974.823,845.504,627.965,557.219,594.925,661.87,699.986,511.907,259.96,113.404,24.1273,0.0,0.0,0.0,0.0,0.0,0.0,0.0,0.0,0.0,0.0,0.0,0.0,0.0,0.0,0.0,8.0691,1.94506,1.72745,17.9179,22.0234,0.0,0.0,10.5894,43.4728,81.607,98.4041,101.112,83.0982,35.5476,0.0,0.0,0.0,0.0,0.0,0.0,0.0,0.0,0.0,26.8363,91.6159,123.643,139.402,124.361,82.5423,24.6756,23.4085,34.1306,66.7843,101.027,136.349,173.875,187.336,179.982,177.427,181.26,190.203,181.743,162.064,140.976,112.644,33.7687,147.009,498.042,672.884,849.156,976.246,999.838,864.84,1098.5,1284.68,1258.7,1260.37,1108.79,1311.42,1234.24,783.279,883.29,829.121,791.549,670.969,1079.39,1407.85,1239.69,1120.94,1025.82,1099.57,1289.1,1569.18,1746.21,1845.0,1998.74,2118.0,2284.51,2436.72,2426.52,1697.22,843.29,435.731,125.916,0.0,0.0,140.823,259.402,430.417,800.348,1214.87,1245.72,1488.71,1790.0,2257.75,2208.95,2076.76,1890.38,1793.21,1714.48,1489.94,1187.42,1133.2,1135.4,1136.9,1101.05,1031.33,1078.65,1111.29,1160.25,1019.9,524.583,378.739,211.769,148.646,156.301,207.186,781.293,761.369,623.527,554.27,498.31,482.191,491.402,436.599,271.868,174.424,135.218,108.949,86.4568,73.6265,42.355,0.00200961,0.0,0.0,0.0,0.0,0.0,0.0,0.0,0.0,0.0,0.0,0.0,0.0,0.0,0.0,0.0,16.6267,51.2876,82.257,93.467,95.5237,90.6299,82.4823,71.1117,36.5539,10.5666,0.0,0.0,0.0,0.0,0.0,0.0,0.0,0.0,0.0,0.0,0.0,0.0,0.0,0.0,0.0,0.0,0.0,0.0,14.6429,58.8562,96.6232,132.814,159.472,177.928,211.302,247.039,301.139,376.299,462.456,549.352,594.331,1018.87,1110.28,922.37,615.737,413.327,329.651,297.644,257.667,237.832,280.584,356.769,389.342,389.342,362.656,282.115,192.336,116.92,62.6514,15.871,0.0,0.0,0.0,0.0,0.0,0.0,0.0,0.0,0.0,0.0,11.4185,5.73731,0.0,0.0,0.0,0.0,0.0,0.0,0.0,0.0,0.0,0.0,0.0,0.0,0.0,0.0,0.0,0.0,0.0,0.0,0.0,0.0,0.0,0.0,0.0,0.0,0.0,0.0,0.0,0.0,0.0,0.0,0.0,13.1399,49.0332,64.6026,64.9157,48.6339,15.941,0.0,0.0,0.0,0.0,0.0,0.0,0.0,0.0,0.0,0.0,0.0,0.0,33.4283,106.295,139.888,169.978,204.643,225.58,205.686,144.568,86.1078,33.1424,1.43215,0.0,0.0,0.0,0.0,0.0,0.0,0.0,19.6677,58.6629,71.8822,60.2424,34.4778,10.2712,24.8091,82.8864,136.179,178.043,186.939,159.786,122.868,87.9148,77.6127,85.2539,90.2062,89.4714,99.7219,126.256,150.076,125.417,116.949,463.759,936.404,966.727,929.505,734.619,393.931,126.852,90.2114,218.904,304.895,283.284,236.054,226.41,244.541,171.162,127.582,188.089,228.833,253.025,270.602,257.729,247.818,194.819,128.927,12.5809,0.0,0.0,0.0,0.0,0.0,0.0,0.0,0.0,0.0,0.0,12.5819,70.1824,102.527,114.699,107.068,90.7754,75.4985,50.5824,30.7394,11.5501,0.0,0.0,0.0,15.9964,78.1025,92.5592,111.431,134.58,130.66,89.3948,88.5452,121.535,214.338,213.41,144.086,112.838,76.6855,13.4846,0.0,0.0,0.0,0.0,0.0,0.0,0.0,0.0,0.0,0.0,75.1387,138.926,201.974,220.059,211.038,183.789,120.947,95.2011,101.504,158.018,270.551,412.93,467.102,405.624,277.923,156.949,79.7495,25.8134,39.118,89.3552,156.406,205.269,191.166,388.828,372.137,227.752,165.551,133.837,107.03,75.2214,0.0,0.0,20.1424,105.695,284.181,558.199,841.169,678.965,373.048,186.136,122.482,139.218,156.166,134.142,102.167,52.5667,0.0,10.5406,97.2719,189.829,196.061,168.585,140.522,108.903,20.8667,0.0,0.0,0.0,0.0,0.0,0.0,0.0,0.0,0.0,3.95264,41.1959,96.4822,190.629,339.191,424.222,452.355,567.338,610.774,617.781,514.124,291.917,125.349,123.072,217.692,434.433,710.392,1091.54,1056.97,922.795,914.898,654.34,430.341,353.224,200.4,81.7261,5.39894,3.50126,63.763,56.3764,87.1334,134.487,209.161,319.272,429.307,484.569,464.6,395.553,295.998,354.291,369.06,279.232,182.175,123.793,106.836,106.836,108.547,108.547,109.405,101.814,86.2514,59.4166,4.89875,0.0,0.0,0.0,0.0,0.0,0.0,0.0,0.0,0.0,0.0,0.0,0.0,0.0,0.0,0.0,0.0,0.0,14.2697,8.53422,19.1503,27.7564,0.0,0.0,0.0,18.3879,13.7869,86.4288,113.837,137.229,154.561,160.653,149.118,125.787,85.3209,98.6878,154.416,218.675,260.843,301.153,333.822,369.892,405.209,373.751,356.925,326.698,302.125,343.704,349.372,382.374,464.163,462.048,371.685,221.419,112.274,77.6603,91.9216,73.5545,0.0,0.0,0.0,0.0,86.345,156.164,157.598,120.691,82.7211,42.6993,8.52941,0.0,0.0,0.0,0.0,0.0,33.0512,82.0215,133.868,173.128,186.765,153.246,104.176,58.8844,0.0,0.0,0.0,0.0,0.0,0.0,0.0,0.0,0.0,0.0,0.0,0.0,0.0,0.0,0.0,0.0,0.0,0.0,0.0,0.0,0.0,0.0,0.0,0.0,0.0,0.0,51.4888,148.867,191.824,162.101,299.917,1044.23,1063.33,855.091,1016.68,1324.58,1649.79,1864.57,1168.41,643.349,1121.08,1394.59,1386.72,1408.42,1424.09,1488.66,1599.85,1589.57,1286.59,1019.46,790.231,566.724,471.459,465.802,427.951,370.189,296.332,223.238,170.7,128.979,99.4473,76.1619,63.3798,90.2247,52.1296,13.1283,26.0814,40.041,52.3485,48.5391,61.2372,60.345,0.0,0.0,0.0,0.0,0.0,0.0,26.2909,43.7085,35.0603,14.983,0.0,0.0,0.0,0.0,0.0,0.0,0.0,0.0,2.15259,33.0719,75.8918,101.988,98.5992,44.2599,0.0,0.0,0.0,0.0,35.0845,69.0068,76.3729,79.5572,85.2889,87.8363,87.9462,92.9658,130.509,145.399,149.299,101.519,86.7458,102.898,87.8663,26.7198,0.0,0.0,0.0,0.0,0.0,0.0,0.0,0.0,0.0,5.48313,2.82773,8.72148,34.696,49.5198,57.1555,83.9436,114.936,126.068,125.453,78.4982,84.3048,193.895,330.024,422.917,511.462,609.818,569.124,419.762,308.267,229.538,213.764,184.141,195.082,203.475,225.72,231.809,246.7,215.694,152.227,96.031,52.0296,0.0,0.0,0.0,0.0,0.0,0.0,32.6689,98.2894,32.3013,0.0,0.0,0.0,0.0,8.70095,98.8434,93.8722,46.9162,13.8649,0.0,0.0,0.0,40.7587,87.8365,128.223,143.608,145.732,130.618,95.9379,13.6061,0.0,0.0,10.8195,62.7134,108.836,162.662,230.207,326.081,455.836,451.41,383.297,340.799,316.092,258.177,231.146,204.417,195.286,201.648,168.862,138.016,175.244,244.663,251.73,214.198,158.78,122.501,108.513,112.501,145.844,200.817,225.712,174.064,175.449,269.374,389.91,475.194,704.33,677.476,534.265,569.313,1022.39,1250.26,1219.31,1230.46,1338.0,1550.92,1598.31,1515.03,1421.66,1304.34,1221.77,1234.75,1189.2,1126.94,1124.54,994.39,795.992,643.36,473.678,277.699,177.785,130.674,99.1652,90.552,90.6657,78.4887,64.2914,74.0621,81.697,83.8324,44.8476,7.8389,0.0,0.0,0.0,14.9803,24.6775,25.9103,7.01403,0.0,0.0,5.44545,17.9446,29.4823,38.1356,18.9061,0.0,0.0,0.0,0.0,0.0,0.0,0.0,0.0,0.0,0.0,0.0,0.0,0.0,19.233,58.1208,84.3272,101.289,109.677,139.132,162.208,146.695,119.251,107.603,95.006,83.1679,72.3994,58.3592,49.3261,52.171,57.5335,64.8315,79.175,94.8071,79.8132,73.6287,75.1997,92.61,136.962,209.117,298.557,368.655,344.143,294.572,250.692,208.812,154.461,113.865,83.6433,78.5029,85.0485,109.126,126.796,132.409,118.802,83.0712,140.788,156.911,116.91,82.8382,55.5127,71.3907,96.6872,124.887,147.793,158.035,189.689,230.594,211.996,148.735,81.4626,4.98486,0.0,0.0,0.0,0.0,0.0,0.0,0.0,0.0,0.0,0.0,0.0,0.0,28.3719,71.9894,103.746,131.772,144.689,111.474,113.059,119.555,121.982,128.969,133.229,120.152,80.739,17.6184,0.0,0.0,0.0,0.0,0.0,0.0,0.0,0.0,20.016,42.5211,49.0672,84.5858,138.077,187.352,186.583,132.836,173.785,370.584,550.078,513.414,382.168,310.419,244.57,203.934,212.89,219.507,250.224,263.396,216.316,299.128,419.461,382.609,326.007,304.167,295.773,351.977,502.904,802.24,1070.69,1124.2,1023.84,993.461,898.027,737.813,555.304,442.222,418.601,414.028,388.947,313.543,223.09,166.289,118.299,56.8068,134.579,352.279,741.393,899.084,930.237,904.246,1165.78,1511.69,1692.59,1585.57,1181.43,731.856,547.234,417.432,379.091,364.336,253.133,236.646,245.862,239.431,212.623,180.462,159.436,123.365,262.258,775.045,939.492,909.782,879.141,896.392,1022.54,1166.37,1267.27,1235.03,931.269,656.263,502.625,412.297,337.955,251.287,194.886,178.864,184.638,206.906,218.765,193.23,176.565,185.658,282.29,255.507,174.057,126.471,99.3316,92.0394,112.16,160.177,234.48,291.165,331.346,373.457,364.219,315.323,277.607,218.464,198.241,194.406,140.015,98.8158,85.1681,86.3527,80.5964,104.338,163.218,177.639,185.904,197.902,214.511,236.436,262.673,316.387,383.477,408.373,331.644,261.518,203.123,155.104,125.74,106.835,82.9402,45.0425,31.3946,9.34802,0.0,0.0,0.0,0.0,0.0,29.7568,27.3268,0.0,0.0,0.0,0.0,0.0,0.0,0.0,0.0,0.0,0.0,0.0,0.0,0.0,0.0,3.00705,13.5297,4.92025,0.0,0.0,6.56598,14.7938,61.7333,67.5353,27.022,0.0,0.0,0.0,0.0,70.7812,118.023,129.299,117.943,109.911,98.9811,86.1783,67.1662,28.0455,0.0,0.0,5.20097,11.9923,2.55385,0.0,0.0,0.0,0.0,61.2515,116.862,135.267,189.028,256.302,331.897,382.154,402.831,357.57,399.466,523.569,595.134,426.3,172.205,0.0,0.0,0.0,77.7834,136.499,111.625,67.5778,31.3547,58.5674,133.71,154.554,155.197,158.04,169.158,178.403,193.068,214.579,205.994,156.226,137.901,144.552,125.3,107.455,86.6889,52.4343,3.37021,0.0,0.0,0.0,0.0,0.0,0.0,0.0,90.2768,144.79,205.329,271.678,344.798,395.599,444.59,498.261,516.548,373.474,307.613,309.792,286.266,193.022,120.758,78.1271,35.7305,23.5403,37.1617,32.4663,0.0,0.0,0.0,0.0,0.0,0.0,91.6439,117.156,108.9,87.5601,75.3861,71.985,66.9674,56.3115,86.1934,117.14,119.325,107.739,108.105,128.301,135.159,126.289,123.11,113.881,97.6125,108.734,146.722,172.086,89.6006,78.8515,228.375,244.238,177.485,142.376,139.233,116.74,100.852,105.613,104.835,91.0123,84.8111,83.0633,133.792,232.286,279.686,237.243,151.044,73.831,8.39976,0.0,0.0,0.0,0.0,0.0,0.0,75.3566,127.137,141.909,150.888,140.453,108.668,56.3334,0.0,15.7851,91.6655,207.831,331.672,403.751,414.802,461.072,524.561,477.421,425.99,316.602,241.667,161.02,82.762,84.4294,303.466,754.375,941.38,940.682,922.476,900.344,701.361,438.414,509.022,548.593,539.659,550.294,403.399,261.792,190.132,151.426,186.856,303.568,392.146,292.67,214.094,198.619,100.914,32.514,134.488,312.45,491.892,796.718,1234.11,1509.89,1460.41,1458.74,1715.53,1588.95,1419.83,908.561,614.426,576.814,344.065,227.317,265.142,611.836,944.255,619.548,842.177,527.077,232.346,683.258,1716.87,2331.55,2414.35,2379.43,2251.06,1942.4,1511.35,976.22,846.683,858.68,837.183,870.95,1015.12,1024.97,910.289,785.353,596.608,412.017,335.116,307.346,441.54,588.283,771.18,2330.08,2454.19,2503.34,2503.34,2503.34,2503.34,2503.34,2503.34,2503.34,2326.79,1906.38,1543.41,1146.87,725.28,556.905,447.306,356.672,307.196,263.389,229.657,161.805,92.7393,14.9318,51.808,225.921,218.661,221.372,275.118,362.21,399.297,396.8,369.926,257.069,98.04,110.893,175.108,243.06,244.664,280.227,350.267,416.257,436.948,403.852,316.585,231.648,118.507,0.0,0.0,0.0,0.0,0.0,44.7651,113.971,134.698,95.929,186.715,365.211,334.489,162.455,23.361,0.0,0.0,0.0,0.0,0.0,0.0,0.0,36.178,119.411,184.709,157.716,59.9464,0.0,0.0,0.0,0.0,0.0,0.0,0.0,0.0,0.0,0.0,0.0,0.0,0.0,14.067,111.282,185.429,235.473,249.957,256.539,228.743,152.113,105.722,68.2998,15.5036,30.4915,107.207,211.574,389.116,770.904,1098.8,1611.3,1192.72,203.813,404.185,734.694,1096.53,1264.08,1617.77,1607.1,1406.46,1167.3,1215.39,1051.88,786.934,447.252,369.376,203.682,247.934,200.756,193.282,232.188,246.556,305.852,445.675,589.041,638.279,547.58,393.197,334.93,221.696,119.258,63.6929,25.8647,0.0,0.0,0.0,0.0,0.0,0.0,0.0,0.0,13.6412,128.066,184.22,234.978,283.128,329.651,335.976,294.786,218.027,98.5393,61.4752,183.553,311.3,308.31,205.531,88.482,0.0,0.0,6.83987,43.8231,78.2533,78.408,44.6004,24.331,9.75128,15.5942,47.231,113.407,238.333,344.183,357.36,329.651,296.433,233.389,188.643,341.634,507.402,674.95,733.568,648.766,565.752,430.158,268.36,187.548,157.831,194.86,236.404,152.514,214.615,232.88,251.607,436.446,851.962,1029.77,914.559,971.215,1165.31,1572.13,1870.83,1769.29,1567.48,1636.66,1613.16,1507.2,1460.47,1467.66,1487.8,1425.77,1251.22,1058.19,828.589,815.524,1141.62,1185.7,1223.08,1222.53,1214.1,1201.21,1098.09,934.479,726.272,552.451,365.857,225.933,184.181,129.436,80.0354,36.791,40.5082,82.5878,114.357,100.91,78.6312,49.3977,32.726,60.558,125.432,124.791,127.675,127.121,112.211,99.9875,92.9638,87.8692,91.1182,88.0551,83.4574,92.6789,109.491,110.784,80.3588,18.2202,0.0,0.0,0.0,0.0,0.0,0.0,0.0,0.0,5.41401,0.0,0.0,0.0,0.0,0.0,6.16439,37.9828,74.888,98.3975,95.9012,113.704,181.92,219.815,171.2,96.5016,30.8269,0.0,0.0,0.0,0.0,0.0,0.0,0.0,0.0,0.0,0.0,0.0,0.0,0.0,0.0,0.0,0.0,0.0,0.0,0.0,0.0,80.2831,114.623,99.7252,54.5787,23.6286,2.85471,0.0,0.0,8.95641,38.598,13.7382,0.0,86.4747,104.953,100.888,84.1858,60.6374,39.4848,32.9582,11.6449,0.0,0.0,0.0,0.0,0.0,10.4002,54.9911,86.6327,120.336,154.816,164.834,173.792,163.612,150.953,133.391,99.1353,181.727,543.867,515.048,368.825,558.076,780.875,502.423,213.391,262.304,400.289,636.226,1375.54,1387.39,1351.89,1263.85,1764.07,292.987,372.685,1002.98,1302.53,1549.06,1531.29,1158.01,612.628,545.02,1109.89,1299.87,1273.19,1188.53,1190.46,1106.63,852.036,522.684,322.292,250.16,169.291,96.2406,44.1986,33.2146,53.7527,60.4077,59.5412,48.4862,24.0142,2.47539,5.3968,14.6286,82.8201,145.063,183.727,241.497,306.207,325.508,291.122,246.924,217.734,179.689,141.002,104.402,111.645,136.678,155.218,189.704,195.537,169.868,148.375,116.732,84.695,55.3798,29.6857,41.7657,67.777,103.427,151.95,215.807,270.056,278.004,243.11,206.669,164.23,110.336,0.0,0.0,0.0,15.4909,103.938,153.334,198.471,199.184,171.678,133.959,119.454,134.926,156.109,100.692,326.568,581.777,726.037,742.511,709.151,626.226,516.251,408.64,410.296,321.48,191.875,108.931,61.342,9.05527,0.0,0.0,0.0,0.0,0.0,0.0,0.0,0.0,0.0,0.0,0.0,0.0,0.0,0.0,0.0,0.0,0.0,0.0,0.0,0.0,0.0,0.0,0.0,0.0,0.0,98.5362,190.859,222.636,168.066,166.215,209.409,262.237,272.886,169.537,96.2829,298.284,448.611,479.016,427.899,332.999,238.816,176.157,116.317,34.9059,0.0,0.0,0.0,0.0,0.0,0.0,0.0,0.0,0.0,0.0,0.0,0.0,10.4413,0.0,0.0,0.0,0.0,0.0,42.0007,71.7735,75.0459,59.2717,17.7283,0.0,0.0,0.0,0.0,45.6187,129.52,242.288,400.095,513.307,519.389,428.198,374.054,338.179,331.883,204.67,103.062,86.1595,151.673,208.077,299.815,404.211,456.249,433.903,366.686,247.955,117.96,89.2962,79.467,59.8382,35.7627,21.4129,13.5691,38.4808,97.8916,141.286,163.861,166.455,138.98,29.9265,0.0,0.0,0.0,0.0,0.0,6.51073,60.6003,83.7322,80.1562,57.6185,73.5985,115.087,190.027,323.788,535.172,711.115,758.336,772.484,727.746,650.317,619.829,703.795,603.203,377.417,228.581,174.582,80.6794,0.0,0.0,0.0,0.0,0.0,0.0,0.0,72.4015,198.658,513.143,896.05,1117.55,999.681,692.067,429.498,333.204,266.455,266.927,206.478,169.972,123.819,112.811,59.5672,0.0,0.0,0.0,0.0,0.0,0.0,0.0,0.0,0.0,0.0,0.0,31.6714,148.982,340.623,460.766,489.538,458.959,403.829,307.97,217.417,150.487,56.7073,0.0,0.0,0.0,0.0,0.0,0.0,0.0,0.0,0.0,0.0,95.2766,289.423,522.444,547.614,386.943,206.723,142.998,199.279,243.395,277.618,254.653,182.098,118.604,71.7046,60.08,156.365,195.446,0.0,0.0,0.0,0.0,2.0965,15.3688,77.2639,183.881,389.227,597.857,635.253,520.934,369.134,258.732,252.732,187.764,136.882,141.285,133.189,127.057,200.749,208.473,115.266,31.2716,0.0,0.0,0.0,0.0,47.1966,120.421,215.072,302.047,330.817,358.723,348.296,224.045,121.667,83.7157,85.7563,91.8678,120.034,237.87,332.554,276.792,210.651,164.802,138.316,135.904,110.808,62.2372,0.0,0.0,0.0,0.0,0.0,0.0,8.21968,74.6597,78.6282,78.8283,74.5723,37.7618,0.0,0.0,0.0,0.0,0.0,0.0,0.0,0.0,0.0,0.0,0.0,0.0,25.1762,78.9604,102.418,110.748,103.586,25.6845,0.0,0.0,0.0,0.0,0.0,0.0,0.0,31.0335,60.8115,93.0127,107.602,117.121,125.576,125.343,107.095,88.8695,92.6159,109.889,151.46,171.267,109.889,33.3876,8.90006,29.7904,98.3296,359.423,714.689,615.943,405.087,275.343,239.655,250.199,211.606,214.588,183.308,187.95,244.856,326.511,318.051,302.652,332.609,388.659,486.769,593.683,686.559,756.393,800.969,721.782,500.894,346.971,199.999,133.51,114.832,98.8991,111.007,166.385,227.639,246.913,221.579,203.907,378.462,810.126,1119.17,1254.31,1328.07,1358.05,1335.83,1334.7,1401.97,1444.56,1404.93,1289.17,940.115,638.552,420.14,201.23,121.08,116.192,119.759,119.061,122.611,126.028,127.983,139.739,176.147,250.999,231.453,192.391,166.011,160.293,169.484,179.268,164.268,147.743,126.485,127.781,181.411,323.508,364.075,257.815,169.083,105.102,74.2892,37.9254,5.54377,0.0,13.5489,37.9582,31.2288,0.0,0.0,0.0,0.0,0.0,0.0,0.0,0.0,0.0,0.0,0.0,97.3044,261.635,393.714,346.024,254.549,200.962,163.645,138.646,124.022,120.828,122.764,116.201,25.3609,0.0,0.0,0.0,0.0,0.0,0.0,0.0,0.0,0.0,11.429,98.6199,268.692,536.096,715.659,588.607,474.321,436.763,415.8,386.443,353.761,335.909,334.846,263.742,232.752,190.408,89.2688,0.0,0.0,0.0,0.0,0.0,0.0,0.0,0.0,0.0,0.0,0.0,0.0,0.0,5.52431,38.9558,81.4895,94.748,91.6659,83.4266,76.0243,33.3634,0.0,0.0,0.0,1.73539,42.3724,67.346,74.6133,76.3785,77.619,88.2855,143.595,298.908,492.98,545.037,406.414,287.577,202.996,130.803,89.7602,72.6435,70.4649,63.2048,53.3255,38.1085,0.0,0.0,0.0,0.0,0.0,0.0,0.0,0.0,0.0,0.0,0.0,35.5643,96.2166,188.47,285.711,349.225,346.757,356.637,382.434,389.895,367.138,305.721,244.735,170.12,41.2811,0.0,0.0,0.0,0.0,0.0,0.0,0.0,0.0,0.0,12.4308,18.5408,1.1082,0.0,0.0,0.0,0.0,36.9145,98.51,143.463,140.81,93.5857,27.0824,0.0,0.0,0.0,118.334,217.952,262.611,273.092,247.678,198.113,129.66,75.6273,0.0,0.0,0.0,78.4571,171.625,251.353,305.37,361.055,390.969,409.735,489.476,580.76,385.517,203.304,95.3771,28.0768,77.6376,129.552,147.294,135.356,131.208,139.667,161.949,158.511,97.4714,0.0,0.0,43.8969,82.8097,40.8434,0.566056,0.0,0.0,0.0,0.0,0.0,0.0,0.0,0.0,0.0,0.0,0.0,0.0,0.0,0.0,0.0,0.0483625,0.0,0.0,0.0,0.0,0.0,0.0,0.0,0.0,0.0,0.0,0.0,0.0,0.0,7.67267,0.754747,0.0,0.0,0.0,0.0,0.0,0.0,0.0,0.0,0.0,0.0,0.0,0.0,0.0,0.0,0.0,0.0,0.0,0.0,0.0,10.0335,31.0172,43.5071,47.3364,51.5622,13.8858,149.58,344.641,507.133,666.203,704.69,665.7,629.538,598.223,552.12,487.919,420.617,453.147,567.791,517.925,408.176,416.359,481.086,455.949,501.903,508.619,436.753,387.387,460.909,545.912,408.79,234.836,181.782,199.0,198.054,198.756,243.391,317.019,385.117,430.341,531.877,572.96,430.0,334.84,268.423,223.663,200.189,170.251,143.03,120.664,108.901,99.6762,72.9276,22.7944,0.0,0.0,0.0,0.0,0.0,0.0,0.0,0.0,0.0,0.0,0.0,0.0,0.0,0.0,0.0,0.0,0.0,19.1728,53.0911,76.8075,85.2126,91.1587,85.4121,5.12489,0.0,0.0,4.67334,8.65267,14.5613,5.73524,0.0,0.0,0.0,0.0,0.0,0.0,0.0,0.0,0.0,0.0,0.0,0.0,0.0,0.0,0.0,0.0,0.0,0.0,0.0,0.0,0.0,0.0,0.0,0.0,18.8548,70.769,107.306,145.019,175.722,329.812,913.42,1050.46,630.804,377.525,234.315,137.349,109.355,108.734,113.409,123.099,99.6396,121.562,179.388,233.283,256.35,318.385,409.538,558.523,775.427,909.116,1004.03,990.699,926.701,683.435,432.254,205.092,105.117,54.4072,19.9397,14.469,19.4111,11.1074,0.0,0.0,0.0,67.4501,202.338,292.175,325.245,313.733,300.606,308.478,313.161,316.85,330.305,348.196,342.74,311.884,357.14,320.508,227.924,130.873,75.6058,22.1507,0.0,0.0,0.0,0.0,0.0,0.0,0.0,2.41502,65.0006,106.512,129.643,139.453,144.181,149.0,152.098,159.491,168.576,182.133,227.353,219.902,153.916,92.6456,33.9134,0.0,0.0,0.0,0.0,0.0,0.0,0.0,4.31571,141.368,170.948,199.296,252.398,358.233,462.689,563.265,587.421,513.852,372.229,222.701,160.934,112.136,87.5499,85.9114,87.4275,88.3375,89.4946,107.446,110.991,115.468,89.3534,90.8017,180.668,147.634,101.278,71.9585,40.401,31.7862,30.7015,39.0336,52.3548,62.7506,83.3411,125.273,194.747,235.578,221.444,168.753,122.418,93.1188,61.5522,21.5785,0.0,0.0,0.0,0.0,0.0,0.0,0.0,11.3072,38.6093,63.4283,80.0483,91.2779,106.958,126.406,164.936,202.219,241.948,213.186,141.303,82.3607,36.5692,10.4824,0.0,0.0,0.0,0.0,0.0,0.0,0.0,0.0,0.0,0.0,0.0,0.0,0.0,0.0,0.0,2.66576,36.2749,84.1537,237.308,409.047,399.169,287.609,75.8181,0.0,0.0,0.0,33.8457,90.0769,104.564,31.0655,102.576,291.535,335.047,362.959,387.532,417.34,458.343,496.159,481.421,413.57,317.79,250.556,189.513,129.013,99.9553,76.121,10.6248,0.0,0.0,0.0,0.0,0.0,23.788,0.0,0.0,0.0,0.0,0.0,0.0,9.42525,28.6313,24.9523,2.14127,0.0,8.46654,206.505,617.857,733.197,561.426,565.522,622.234,550.704,494.303,558.253,400.986,260.816,147.824,121.84,99.7036,38.5308,0.0,0.0,0.0,0.0,0.0,0.0,0.0,0.0,74.5689,249.428,689.638,1071.19,1034.54,945.029,760.528,471.672,306.201,230.866,207.651,217.965,186.261,138.445,388.185,503.997,486.364,510.102,629.156,737.282,696.613,591.48,534.276,545.718,606.919,872.26,1052.06,1000.21,898.43,767.122,630.674,522.542,425.76,365.281,380.616,354.584,178.599,84.5835,155.65,168.251,104.732,18.3781,0.0,0.0,0.0,0.0,0.0,0.0,90.8039,500.972,997.417,1100.67,972.357,734.922,578.283,494.935,413.905,308.939,222.545,160.032,104.208,98.9503,153.296,227.933,248.156,252.671,217.187,177.307,172.779,225.694,391.512,759.761,1117.28,878.149,711.802,599.754,477.307,378.792,253.528,166.63,123.358,93.3328,58.0148,44.4037,0.0,0.0,87.9357,194.491,294.466,309.757,209.37,114.32,40.4876,0.0,0.0,0.0,0.0,71.8066,191.415,319.099,361.829,332.436,228.697,125.497,39.3618,0.0,0.0,0.0,0.0,0.0,0.0,0.0,0.0,0.0,0.0,0.0,55.7975,103.674,140.207,196.353,300.032,417.246,523.771,421.318,286.406,233.757,205.483,159.422,127.461,103.269,70.5025,28.2714,0.0,0.0,0.0,0.0,0.0,0.0,0.0,0.0,0.0,0.0,0.0,0.0,0.0,0.0,0.0,0.0,0.0,0.0,0.0,35.1826,79.3568,97.5186,107.703,107.703,59.0049,8.8263,0.0,0.0,0.0,75.0727,92.6436,94.0774,87.6579,73.1494,26.1895,0.0,0.0,0.0,0.0,0.0,0.0,0.0,0.0,6.92347,5.34577,0.0,0.0,0.0,0.0,21.7172,105.515,179.317,252.307,294.129,303.672,308.056,318.47,289.079,238.042,169.9,94.1767,30.9597,63.5055,74.9689,48.1394,28.6885,11.1986,0.0,0.0,0.0,0.0,0.0,0.0,0.0,0.0,39.2681,94.7252,145.564,128.707,91.6047,57.3223,0.0,0.0,0.0,0.0,0.0,65.2915,166.343,253.196,328.164,382.818,398.255,388.662,378.728,400.645,414.229,229.332,29.9503,241.378,299.348,85.6851,143.121,230.814,262.824,271.364,441.173,280.287,110.323,117.969,179.774,316.988,376.517,352.999,257.619,129.633,36.2859,0.0,0.0,0.0,0.0,0.0,0.0,0.0,0.0,19.7713,47.4332,28.9595,0.0,0.0,0.0,0.0,0.0,0.0,22.5469,101.151,142.949,148.435,137.179,100.134,85.884,142.209,206.358,211.336,210.444,170.579,160.168,232.099,328.123,317.312,242.835,184.945,138.64,117.383,120.543,139.452,163.565,129.874,100.181,127.038,155.531,167.513,156.536,136.105,119.68,110.703,104.191,95.7868,77.5792,20.0778,0.750055,0.0,0.0,0.0,13.1468,14.7494,0.0,0.0,0.0,24.4295,60.4494,79.0991,86.5237,106.686,125.616,122.765,111.47,100.087,76.6011,33.41,6.33865,0.0,7.58492,0.0,0.0,4.99288,0.0,0.0,0.0,0.0,0.0,11.1911,80.0739,146.634,264.783,387.844,409.294,524.603,543.613,476.814,441.708,417.742,396.53,378.268,360.006,324.141,307.343,212.336,188.653,143.944,75.0827,0.0,0.0,0.0,0.0,0.0,0.0,0.0,0.0,0.0,73.6096,184.577,300.558,370.106,405.721,447.435,502.837,481.223,568.526,411.927,316.623,221.628,229.426,130.22,16.8553,0.0,0.0,0.0,0.0,0.0,0.0,0.0,0.0,0.0,7.29236,87.16,138.708,168.255,175.952,196.161,225.26,249.423,262.368,264.051,259.362,179.392,148.527,95.6869,0.0,0.0,0.0,0.0,0.0,0.0,0.0,0.0,0.0,0.0,86.7899,381.225,660.436,815.739,1008.4,967.938,855.176,620.346,443.857,315.749,189.263,134.538,105.951,100.372,92.8647,58.7141,0.0,0.0,0.0,0.0,0.0,0.0,0.0,0.0,0.0,97.9512,219.051,353.794,460.725,591.411,661.718,660.536,650.584,625.854,575.021,364.171,306.234,235.411,114.406,0.41516,0.0,0.0,0.0,0.0,0.0,0.0,0.0,0.0,0.0,0.0,0.0,0.0,0.0,0.0,0.0,0.0,32.8336,91.4978,101.716,72.8444,11.2763,0.0,0.0,0.0,0.0,52.5685,367.647,1062.23,1389.42,1037.05,753.944,662.844,491.434,424.087,330.688,242.537,172.878,124.955,89.1032,60.6763,29.3576,5.83074,0.0,0.0,0.0,116.223,288.186,567.854,840.594,999.585,1079.5,1139.15,1089.05,916.07,768.267,713.979,647.997,660.229,427.131,200.233,76.5146,0.0,0.0,0.0,0.0,0.0,0.0,0.0,0.0,165.666,257.627,333.343,373.793,409.872,462.184,463.052,428.064,375.656,304.9,259.233,243.941,384.289,330.102,152.295,106.749,86.6032,89.7254,90.8219,64.5751,17.3835,0.0,0.0,35.3448,94.5477,107.968,143.776,218.116,312.135,406.358,509.742,582.497,591.739,551.54,466.249,380.742,388.574,354.038,229.629,163.062,121.159,107.906,103.056,117.574,140.447,166.648,139.277,310.007,552.483,790.701,1006.92,1236.91,1446.52,1639.99,1775.8,1807.91,1784.59,1689.47,1445.71,968.817,551.36,367.369,255.618,285.478,335.926,330.324,319.122,259.237,224.553,208.262,177.207,202.472,254.402,281.556,288.161,343.15,467.697,689.754,900.127,1021.82,1072.55,1044.68,866.995,526.739,331.623,228.346,165.038,144.429,139.436,142.756,140.664,145.112,144.229,151.559,125.981,199.09,289.231,432.036,504.271,524.418,573.247,606.751,653.68,702.183,750.252,702.596,499.572,363.751,323.76,275.922,219.918,193.736,188.749,166.118,143.18,122.723,96.687,75.7863,0.0,0.0,0.0,0.0,12.2205,69.0589,156.327,280.905,372.344,464.337,520.863,435.2,332.539,229.647,202.982,163.995,122.048,100.474,81.8834,73.8238,36.5252,0.0,0.0,0.0,0.0,0.0,0.0,0.0,0.0,0.0,0.0,0.0,0.0,0.0,0.0,0.0,0.0,0.0,0.0,8.57907,35.9542,43.7093,56.4048,82.0146,111.977,146.017,172.368,182.735,134.77,98.3063,85.0487,18.3697,0.0,0.0,0.0,0.0,0.0,0.0,0.0,0.0,26.8908,100.637,155.483,198.005,207.147,192.556,181.626,157.073,125.538,102.197,94.659,102.197,85.3831,68.1624,113.651,182.52,226.788,233.181,220.515,211.878,209.41,200.429,174.912,147.237,120.478,89.6977,127.469,198.111,235.018,225.806,196.516,156.176,128.4,130.89,141.714,149.251,104.396,84.5448,148.715,180.084,213.281,243.987,255.177,271.205,325.585,395.395,465.926,519.197,519.964,462.676,664.6,807.085,770.576,586.197,452.417,321.431,218.414,169.168,140.268,123.689,94.8938,123.335,145.892,155.92,174.224,188.302,185.843,182.467,179.417,185.337,203.754,240.192,270.537,338.331,525.211,728.723,640.816,570.396,548.013,487.66,443.797,399.703,342.96,306.104,206.463,277.518,279.62,261.27,251.69,237.395,186.587,133.682,101.439,86.2273,85.6118,96.4845,121.871,160.757,297.65,574.789,805.442,673.782,517.494,402.412,351.782,322.82,301.235,283.033,200.001,332.888,292.286,193.111,127.087,87.3995,42.6713,5.15797,0.0,0.0,0.0,0.0,0.0,28.5793,132.885,350.206,640.683,764.427,617.018,511.696,422.693,350.154,281.894,259.085,157.376,248.737,252.771,176.618,117.801,69.1952,5.91294,0.0,0.0,0.0,0.0,0.0,0.0,0.0,0.0,0.0,86.4935,194.697,274.588,279.47,236.707,161.673,94.8668,43.151,0.0,0.0,0.0,0.0,0.0,0.0,0.0,0.0,31.6431,92.7794,151.463,236.856,301.899,354.221,433.806,440.755,384.883,302.944,248.737,235.519,198.534,146.358,118.621,111.907,66.113,25.1975,0.0,0.0,0.0,0.0,0.0,0.0,0.0,0.0,0.0,0.0,0.0,18.5187,211.311,391.986,427.892,356.084,241.21,149.055,120.031,150.598,162.02,149.85,126.304,162.092,166.08,86.9948,14.9244,0.0,0.0,0.0,0.0,0.0,0.0,0.0,0.0,35.7427,175.134,211.224,188.994,194.28,181.106,124.615,75.7973,36.2328,16.7971,0.0,0.0,0.0,0.0,0.0,0.0,0.0,104.993,212.244,328.312,387.263,417.881,486.937,558.514,497.006,424.368,318.608,234.525,206.399,172.654,158.265,153.214,154.432,156.753,150.686,95.7819,188.861,154.377,32.4072,0.0,0.0,0.0,0.0,0.0,0.0,0.0,20.5759,92.0066,257.158,624.63,800.233,818.487,664.136,613.425,583.69,507.994,460.829,459.231,444.1,298.951,257.646,175.485,74.7422,0.0,0.0,0.0,0.0,0.0,0.0,0.0,0.0,0.0,81.7665,258.972,419.734,489.589,543.525,605.328,578.218,485.269,399.919,335.581,303.895,219.17,179.301,138.159,76.6093,0.0,0.0,0.0,0.0,0.0,0.0,0.0,0.0,102.458,338.824,627.19,657.388,579.69,482.311,468.714,396.025,318.183,239.838,225.132,231.718,205.946,280.842,259.064,190.741,129.549,96.0466,87.4535,94.9833,107.026,125.911,163.444,220.367,306.656,430.357,705.316,771.958,686.87,652.081,503.297,415.042,313.778,229.407,181.091,168.078,163.782,256.824,320.18,283.616,213.699,141.458,81.5784,17.7678,0.0,0.0,0.0,0.0,0.0,0.0,46.3974,141.877,217.872,247.46,238.377,200.439,147.034,109.138,73.1899,32.3174,0.0,0.0,0.0,0.0,0.0,0.0,0.0,0.0,0.0,58.6753,133.983,263.929,482.15,690.217,826.797,730.85,571.842,457.742,387.005,338.391,292.72,259.024,235.632,215.625,120.297,146.253,163.333,127.008,118.566,12</t>
  </si>
  <si>
    <t>0.0,0.0,0.0,0.0,0.0,0.0,0.0,0.0,0.0,24.8294,56.1477,51.5061,20.3227,14.5283,34.4295,54.3471,69.967,76.477,66.3679,50.557,36.7627,40.7227,54.4908,66.1898,112.579,169.054,211.949,182.591,152.381,188.304,182.436,315.94,549.446,779.387,960.618,1045.94,1015.6,843.708,718.227,614.407,341.088,123.247,31.9356,0.0,0.0,0.0,0.0,0.0,0.0,0.0,0.0,0.0,0.0,0.0,15.6447,31.8291,50.7716,58.8028,73.5892,84.5558,74.4883,31.2284,6.53553,20.5242,67.5522,115.642,161.14,172.067,170.519,126.83,81.8906,42.8422,15.2424,5.77336,16.1221,43.1633,84.9668,157.529,98.6485,143.284,283.486,337.256,333.746,304.159,189.613,105.288,44.2067,20.4012,18.5149,14.2477,10.9313,49.6564,123.334,149.079,127.386,99.9716,79.0195,52.4759,36.672,50.6078,79.4725,107.559,49.5711,8.45659,256.72,478.278,531.999,526.26,418.772,249.863,277.377,480.078,526.732,465.702,466.569,527.38,566.459,461.514,346.582,299.21,247.764,196.883,164.749,194.097,200.38,177.953,103.252,37.7446,223.193,385.11,419.666,402.558,323.838,228.53,222.318,264.72,281.374,250.518,184.474,118.878,66.9852,11.6242,0.0,0.0,0.0,0.0,0.0,0.0,0.0,0.0,0.0,0.0,0.0,0.0,0.0,0.0,0.0,0.0,0.0,0.0,0.0,0.0,0.0,8.56586,15.4842,24.4594,47.4906,84.1698,127.698,179.994,241.936,252.877,230.993,213.142,188.89,153.442,187.571,175.916,187.798,173.134,127.521,76.7258,121.539,283.597,501.811,663.288,780.312,818.384,788.085,740.694,669.572,596.807,539.861,537.186,505.966,596.616,566.395,288.373,134.034,99.7765,216.068,319.865,280.571,234.009,196.184,68.1883,0.0,1.06421,104.615,418.335,787.583,959.516,869.172,931.963,882.538,745.006,463.749,448.117,448.117,400.285,428.462,437.398,332.185,454.442,604.36,551.752,429.729,294.574,213.475,86.378,29.494,104.405,276.988,483.821,614.237,640.251,571.48,531.392,323.864,259.875,276.248,266.378,215.478,226.386,268.196,297.279,285.189,354.28,354.28,273.745,167.339,55.3804,12.3947,0.0,62.2066,308.682,585.331,664.937,627.229,648.178,537.314,360.096,288.029,376.749,450.859,478.463,425.812,323.033,196.629,65.3881,0.0,0.0,0.0,0.0,9.64594,102.562,219.998,395.149,730.231,952.197,657.564,426.041,381.308,413.679,427.264,409.527,366.918,362.974,347.632,390.709,401.001,441.437,458.267,452.001,749.005,806.518,747.159,679.43,668.928,688.018,687.591,676.579,598.616,514.61,372.819,301.459,255.281,176.375,106.035,53.1535,41.0242,43.0156,39.8708,11.5061,0.0,0.0,0.0,0.0,0.0,0.0,0.0,0.0,0.0,0.0,27.0301,86.0291,202.611,289.98,295.486,284.473,277.131,280.802,282.638,266.119,264.283,260.612,238.586,191.673,131.666,88.1973,86.9263,95.9276,269.795,634.304,1019.38,1193.5,1254.47,1236.99,1211.92,1120.8,833.677,585.777,439.271,309.365,207.05,169.944,171.77,152.295,113.824,69.5405,78.8431,110.529,142.385,149.499,124.33,102.889,180.092,635.855,760.554,752.655,724.3,696.135,634.215,516.452,282.19,194.431,177.947,113.96,49.26,8.63718,0.0,0.0,0.0,0.0,0.0,0.0,0.0,0.0,0.0,0.0,0.0,88.8546,249.806,278.75,288.146,301.892,312.851,249.652,139.211,139.53,226.486,397.176,527.21,590.552,614.863,660.065,686.474,773.867,858.747,809.553,781.484,587.953,395.56,294.78,308.964,575.518,662.621,933.975,1166.27,1216.74,1193.06,992.967,587.108,520.882,630.83,566.78,420.025,385.361,290.468,145.325,67.669,108.191,174.925,141.075,106.69,78.5567,237.338,661.669,828.542,1021.42,1129.27,1210.23,1262.65,1278.21,1270.86,1199.96,891.413,615.43,459.672,454.165,417.044,357.41,320.024,236.577,206.901,197.436,252.951,262.22,223.632,164.954,99.6863,54.5443,49.5932,74.2198,135.381,169.122,176.033,170.843,159.538,146.591,123.376,222.516,368.63,498.556,561.23,538.906,488.722,415.63,341.505,268.028,210.657,144.174,88.3094,117.645,250.417,300.504,334.361,417.709,501.639,752.452,1025.15,1062.48,1004.31,992.794,1146.99,1227.1,1256.75,1265.81,1282.42,1203.42,1216.4,1082.4,877.975,810.757,752.818,662.22,713.179,566.669,277.617,77.3764,0.0,7.94496,0.0,0.0,0.0,0.0,0.0,0.0,0.0,0.0,180.226,464.369,503.855,507.167,500.898,580.6,558.889,283.703,291.592,303.209,296.243,314.613,399.453,350.728,341.936,487.503,960.217,1213.65,1264.89,1215.87,1056.75,805.214,672.519,696.234,697.685,656.827,587.773,577.801,506.675,433.65,389.311,326.273,336.402,312.687,193.798,147.535,141.012,101.04,87.4697,48.5833,4.92841,0.0,0.0,0.0,0.0,0.0,3.91995,0.0,0.0,0.0,0.0,0.0,0.0,0.0,0.0,0.0,0.0,0.0,0.0,9.62002,71.2746,114.746,181.647,201.994,202.511,140.201,81.3856,67.1468,55.9091,45.0184,24.4395,9.55225,42.1195,149.014,201.487,160.466,187.532,230.532,269.886,292.092,308.746,359.315,480.368,561.944,560.824,486.935,399.542,314.094,388.902,387.54,314.158,259.286,270.565,322.884,290.926,245.955,247.63,310.26,320.775,224.928,100.591,37.2053,37.354,45.6063,39.7894,35.9148,42.0616,21.8136,5.32205,71.2466,49.0579,1.00448,55.4313,138.544,202.127,199.722,179.315,140.859,78.3021,66.469,53.9577,15.3716,0.0,0.0,0.0,0.0,0.0,0.0,0.0,0.0,0.0,0.0,0.0,0.0,0.0,0.0,26.0373,51.5252,76.2253,94.1616,108.266,139.955,165.569,201.057,250.938,261.726,220.091,166.923,112.874,64.3769,53.752,44.8503,16.5398,0.0,0.0,0.0,0.0,0.0,0.0,0.0,0.0,0.0,0.0,0.0,0.0,0.0,0.0,0.0,11.0017,8.49478,0.0,0.0,0.0,0.0,0.0,0.0,0.0,5.27665,38.858,58.8201,47.1429,17.813,0.0,0.0,22.0834,78.317,119.442,156.723,164.894,79.5211,58.5685,208.989,402.938,509.844,485.582,423.182,311.495,286.23,327.134,352.618,315.379,146.301,73.9594,29.7908,0.0,0.0,0.0,0.0,0.450477,24.0267,30.879,20.9451,11.8352,0.491819,0.0,0.0,0.0,0.0,0.0,0.0,0.0,0.0,0.0,55.0096,128.098,190.646,228.042,207.017,153.123,127.098,125.518,123.701,259.52,342.599,500.309,621.484,677.368,601.29,642.7,754.062,842.331,813.259,680.918,482.73,405.623,389.553,432.132,516.264,589.041,649.218,729.389,864.575,924.923,889.034,834.211,821.173,866.195,1017.97,1126.04,1109.02,1110.82,1141.45,1176.76,1238.36,1268.53,1269.04,1264.73,1258.65,1236.01,1185.66,1192.39,1167.96,1146.4,1098.34,1053.44,992.385,882.198,723.397,528.657,470.252,280.555,259.807,375.478,379.099,273.27,278.655,352.963,396.192,370.354,332.826,289.74,216.907,148.505,183.575,389.697,584.846,685.978,727.263,856.717,806.131,694.5,562.116,759.985,953.496,878.46,743.824,684.243,719.955,768.146,793.767,642.236,367.803,133.994,17.9421,0.0,0.0,0.0,0.0,0.0,0.0,0.0,0.0,0.0,0.0,0.0,0.0,0.0,0.0,0.0,5.77356,1.39172,1.23602,12.8205,15.7581,0.0,0.0,7.57688,38.149,77.6065,107.54,112.001,80.5705,29.8709,0.0,0.0,0.0,0.0,0.0,0.0,0.0,0.0,0.0,20.7717,96.3584,154.162,179.222,155.577,79.4655,18.5147,17.1912,28.3908,56.3578,111.86,174.779,235.106,255.302,244.728,241.055,246.565,259.423,247.26,214.789,181.514,132.497,28.0127,190.296,629.6,775.605,880.709,954.273,967.141,890.365,1021.94,1125.37,1110.94,1111.86,1027.65,1139.15,1097.35,843.826,901.725,868.373,848.242,774.322,1011.32,1180.63,1100.38,1034.4,981.561,1022.53,1127.83,1234.27,1286.21,1299.98,1327.65,1343.31,1361.23,1376.84,1376.84,1277.3,877.097,572.814,158.638,0.0,0.0,181.291,366.815,567.913,852.939,1086.59,1103.73,1210.13,1293.87,1357.89,1352.47,1339.19,1307.11,1294.22,1280.44,1210.5,1071.34,1041.22,1042.44,1043.27,1023.35,984.619,1010.91,1029.04,1056.24,978.269,653.79,502.264,290.43,192.679,204.876,283.841,842.766,832.129,740.64,681.45,629.844,615.152,623.548,573.605,383.776,236.051,173.132,125.221,87.2463,61.7435,36.9814,0.0014379,0.0,0.0,0.0,0.0,0.0,0.0,0.0,0.0,0.0,0.0,0.0,0.0,0.0,0.0,0.0,11.8966,44.3716,78.8985,99.4074,102.795,94.7342,79.3464,59.705,30.922,7.56059,0.0,0.0,0.0,0.0,0.0,0.0,0.0,0.0,0.0,0.0,0.0,0.0,0.0,0.0,0.0,0.0,0.0,0.0,10.4772,50.2257,104.606,169.632,210.332,241.776,289.759,344.943,414.105,499.623,597.168,676.792,719.393,977.698,1028.48,924.886,735.052,545.142,446.765,410.484,363.746,328.653,392.807,478.483,513.741,513.741,484.856,394.394,262.49,140.92,53.1612,11.3559,0.0,0.0,0.0,0.0,0.0,0.0,0.0,0.0,0.0,0.0,8.1701,4.10513,0.0,0.0,0.0,0.0,0.0,0.0,0.0,0.0,0.0,0.0,0.0,0.0,0.0,0.0,0.0,0.0,0.0,0.0,0.0,0.0,0.0,0.0,0.0,0.0,0.0,0.0,0.0,0.0,0.0,0.0,0.0,9.40182,42.6278,54.6703,54.9125,42.319,11.406,0.0,0.0,0.0,0.0,0.0,0.0,0.0,0.0,0.0,0.0,0.0,0.0,27.6572,120.538,179.93,228.403,280.184,310.286,281.684,186.742,86.5527,27.3586,1.02472,0.0,0.0,0.0,0.0,0.0,0.0,0.0,14.0725,50.0761,60.3009,51.2979,28.7535,7.34923,18.6542,80.1494,174.531,241.94,254.731,210.871,152.635,90.1446,69.667,84.8553,94.0363,92.8259,109.711,159.309,194.761,157.657,140.977,598.356,932.541,949.08,928.777,816.974,519.298,160.482,94.0449,300.689,417.997,395.605,325.508,311.48,340.524,230.44,161.92,256.384,314.964,355.532,382.465,363.856,346.321,266.06,163.975,9.00184,0.0,0.0,0.0,0.0,0.0,0.0,0.0,0.0,0.0,0.0,9.00257,58.9861,114.331,136.545,121.812,94.9739,65.4644,43.8261,24.8486,8.26428,0.0,0.0,0.0,11.4456,70.6405,97.9121,130.108,172.204,166.498,92.6998,91.3003,150.01,294.123,292.788,186.041,132.88,67.8239,9.64841,0.0,0.0,0.0,0.0,0.0,0.0,0.0,0.0,0.0,0.0,64.7493,178.53,276.348,302.348,289.378,250.201,148.851,102.264,112.646,207.83,382.412,544.612,601.402,534.878,390.05,205.992,73.9143,19.7032,33.6002,92.6345,205.057,281.085,260.808,513.184,495.118,313.41,220.788,171.122,121.749,64.9137,0.0,0.0,14.4122,119.55,396.535,685.171,875.791,779.68,496.105,253.576,151.875,178.955,204.645,171.566,113.738,45.3609,0.0,7.54193,105.675,258.885,267.845,226.007,180.853,125.13,14.9305,0.0,0.0,0.0,0.0,0.0,0.0,0.0,0.0,0.0,2.82818,35.7707,104.374,260.035,458.076,559.657,587.963,693.826,731.492,736.518,644.257,404.551,157.523,153.037,298.945,571.631,800.74,1018.07,998.868,925.118,920.81,762.745,567.811,474.647,274.084,77.8432,3.86302,2.5052,54.0209,48.3076,88.5914,172.068,286.68,434.46,566.434,617.319,599.122,521.458,408.779,475.802,491.788,391.407,247.881,154.457,121.429,121.429,124.429,124.429,126.118,113.158,86.8381,50.6591,3.50512,0.0,0.0,0.0,0.0,0.0,0.0,0.0,0.0,0.0,0.0,0.0,0.0,0.0,0.0,0.0,0.0,0.0,10.2102,6.10636,13.7023,21.7327,0.0,0.0,0.0,13.1568,9.86472,87.1908,134.847,176.06,201.884,212.363,193.365,158.385,84.9885,108.007,201.634,300.359,369.364,414.12,451.711,492.688,534.325,496.866,478.653,443.265,415.127,463.426,470.146,506.199,598.724,596.796,494.629,304.304,131.768,69.7615,96.8619,61.6004,0.0,0.0,0.0,0.0,87.0242,204.642,207.107,148.348,79.821,37.3411,6.10292,0.0,0.0,0.0,0.0,0.0,27.2633,78.4303,171.167,233.822,254.481,199.622,117.047,50.2475,0.0,0.0,0.0,0.0,0.0,0.0,0.0,0.0,0.0,0.0,0.0,0.0,0.0,0.0,0.0,0.0,0.0,0.0,0.0,0.0,0.0,0.0,0.0,0.0,0.0,0.0,44.5272,193.0,261.754,214.853,412.839,991.787,1002.4,884.363,976.484,1145.0,1260.15,1302.42,1060.78,754.86,1034.48,1175.33,1172.18,1180.86,1187.13,1210.12,1243.47,1240.39,1126.43,978.027,847.538,693.245,605.372,600.217,564.627,493.01,409.125,306.92,229.646,164.051,109.258,66.7831,53.7245,94.0667,45.0229,9.39346,19.9831,34.5643,45.1921,42.2457,52.0673,51.3772,0.0,0.0,0.0,0.0,0.0,0.0,20.2019,38.3952,29.3619,10.7205,0.0,0.0,0.0,0.0,0.0,0.0,0.0,0.0,1.54021,27.285,66.2463,113.444,107.861,38.9358,0.0,0.0,0.0,0.0,29.3872,58.0768,67.2026,73.532,84.9249,89.9884,90.2069,98.5819,166.278,187.952,193.63,112.67,87.821,114.942,90.0481,20.65,0.0,0.0,0.0,0.0,0.0,0.0,0.0,0.0,0.0,3.92326,2.02328,6.24035,28.9814,43.0042,48.9102,82.2509,137.012,158.938,157.728,71.427,82.969,264.731,447.207,557.918,641.831,730.806,695.518,553.715,421.49,315.977,293.298,250.707,266.437,278.505,310.487,319.243,344.343,296.073,197.891,103.631,44.9454,0.0,0.0,0.0,0.0,0.0,0.0,26.864,107.351,26.48,0.0,0.0,0.0,0.0,6.22566,108.264,100.075,40.9904,9.92056,0.0,0.0,0.0,35.314,89.9889,162.95,185.346,188.437,166.437,103.477,9.73536,0.0,0.0,7.74148,53.2091,124.997,215.819,316.939,442.532,591.136,587.102,507.198,459.982,430.691,364.648,318.289,279.859,266.732,275.879,226.484,177.205,237.462,340.738,353.242,293.921,209.141,151.912,124.362,132.216,188.6,274.683,310.476,235.433,237.814,381.192,514.356,608.777,796.678,778.682,662.614,695.698,979.657,1106.25,1089.05,1095.25,1150.96,1228.79,1243.01,1218.03,1186.16,1136.0,1090.42,1097.63,1072.33,1037.74,1036.41,964.169,850.614,754.868,607.395,389.818,241.57,166.518,108.794,94.6058,94.7932,71.4081,54.4296,62.6093,77.7854,82.0298,39.3904,5.60885,0.0,0.0,0.0,10.7186,18.5167,19.8044,5.01864,0.0,0.0,3.8963,12.8397,23.5355,32.5741,13.5276,0.0,0.0,0.0,0.0,0.0,0.0,0.0,0.0,0.0,0.0,0.0,0.0,0.0,13.7615,49.6568,83.0135,112.293,126.654,178.829,215.038,189.838,145.511,122.692,101.943,80.7091,60.7009,49.8413,42.8544,45.0548,49.2026,54.8473,72.7724,101.615,74.0409,61.7478,64.8706,97.9958,175.671,286.617,411.43,491.35,463.946,407.301,351.406,286.179,201.712,134.903,81.654,71.4364,84.4471,125.569,160.373,169.043,144.627,80.5168,181.24,205.927,140.9,80.0537,47.6395,59.9208,104.712,156.613,191.437,207.86,258.685,317.496,290.756,192.808,77.3195,3.56674,0.0,0.0,0.0,0.0,0.0,0.0,0.0,0.0,0.0,0.0,0.0,0.0,22.3756,60.3838,116.339,168.117,186.918,130.194,133.314,146.11,150.891,164.036,170.237,147.286,75.8811,12.6062,0.0,0.0,0.0,0.0,0.0,0.0,0.0,0.0,14.3217,37.1549,42.6542,83.5274,177.294,255.324,254.218,169.665,234.953,493.438,677.479,643.61,505.976,423.964,340.575,279.164,292.041,301.555,350.577,373.881,296.967,412.022,553.315,506.453,442.445,417.242,408.545,473.234,634.031,853.949,1006.49,1036.22,980.463,963.662,910.798,819.115,682.429,578.729,552.169,546.075,513.314,427.668,306.706,222.058,143.637,48.6405,172.202,473.592,821.465,911.45,929.177,914.628,1059.31,1217.03,1276.2,1239.19,1068.01,815.123,674.785,550.611,502.646,486.675,355.724,326.554,342.859,331.483,291.658,245.418,210.269,153.614,371.868,839.43,934.225,918.02,899.171,909.792,979.737,1059.64,1115.7,1097.79,929.74,764.124,633.776,543.769,456.61,352.458,266.157,243.12,251.422,283.438,300.488,263.775,239.734,252.889,394.575,359.925,235.42,159.732,109.068,97.0559,131.544,211.544,323.082,403.771,448.775,496.547,486.548,429.778,389.723,300.055,270.98,265.466,180.115,108.218,84.6849,87.0396,75.5976,117.314,216.775,241.359,253.242,270.492,294.372,326.184,372.603,431.04,507.393,538.54,449.128,370.559,277.999,202.817,158.293,121.427,80.2564,39.5411,25.5329,6.68864,0.0,0.0,0.0,0.0,0.0,23.8222,21.284,0.0,0.0,0.0,0.0,0.0,0.0,0.0,0.0,0.0,0.0,0.0,0.0,0.0,0.0,2.15159,9.68067,3.52051,0.0,0.0,4.69805,10.5852,52.451,56.9387,20.9656,0.0,0.0,0.0,0.0,59.4493,143.092,164.517,142.935,127.115,108.49,86.6928,56.6532,22.0347,0.0,0.0,3.72137,8.58066,1.82732,0.0,0.0,0.0,0.0,52.0783,140.805,173.204,257.734,361.33,449.428,505.961,531.156,479.351,526.673,652.866,720.153,562.426,232.234,0.0,0.0,0.0,70.0063,174.998,130.49,56.9715,25.4912,50.0023,170.937,201.872,202.978,207.868,226.993,242.458,263.542,294.47,282.126,204.748,177.038,186.719,157.425,122.448,87.7077,45.2585,2.41144,0.0,0.0,0.0,0.0,0.0,0.0,0.0,94.1526,187.065,281.17,383.58,464.722,521.521,580.887,629.799,646.466,496.565,420.813,423.221,398.695,263.477,148.48,70.6894,30.0619,17.3289,31.5568,26.6524,0.0,0.0,0.0,0.0,0.0,0.0,96.4045,141.385,125.123,89.4394,65.2412,60.3804,56.4994,48.2574,86.7229,141.353,145.657,122.916,123.558,163.063,173.046,159.373,153.111,134.935,106.236,124.797,189.878,232.029,93.0387,72.1293,314.306,339.987,241.138,183.552,178.977,140.566,111.572,119.414,118.133,95.3641,83.9753,80.5011,171.057,319.929,391.877,327.612,196.169,62.15,6.01015,0.0,0.0,0.0,0.0,0.0,0.0,65.1824,161.044,182.872,195.942,180.752,124.667,48.2744,0.0,11.2945,96.4401,284.767,449.161,532.383,547.107,595.907,653.77,610.805,562.013,431.295,335.439,212.994,79.9023,83.2166,416.516,828.395,935.255,934.874,924.944,912.225,794.688,575.259,639.607,676.073,667.611,677.684,531.913,371.043,259.322,196.726,254.611,416.623,516.919,405.331,293.772,271.524,111.675,26.7022,172.07,426.372,623.994,851.001,1097.28,1216.48,1201.64,1200.99,1280.63,1240.2,1185.42,917.285,734.112,702.801,463.854,312.785,376.807,732.254,936.823,737.786,876.412,656.063,320.015,782.557,1280.88,1369.07,1376.84,1376.84,1357.15,1316.57,1216.92,954.259,879.186,886.572,873.337,894.127,975.617,981.09,918.296,844.933,721.33,543.396,453.245,420.537,578.108,713.664,837.367,1368.82,1376.84,1376.84,1376.84,1376.84,1376.84,1376.84,1376.84,1376.84,1368.27,1310.02,1226.54,1048.81,810.716,683.945,583.363,478.379,420.381,373.868,316.149,214.345,98.2088,10.6839,44.7741,310.777,300.338,304.236,387.144,484.374,526.447,523.121,492.725,362.688,106.94,129.049,237.228,337.902,340.74,392.438,471.207,549.045,573.923,532.516,431.275,319.011,144.046,0.0,0.0,0.0,0.0,0.0,39.3266,135.112,172.376,103.463,254.409,487.622,452.501,215.462,17.1416,0.0,0.0,0.0,0.0,0.0,0.0,0.0,30.5293,145.826,251.525,207.311,51.0689,0.0,0.0,0.0,0.0,0.0,0.0,0.0,0.0,0.0,0.0,0.0,0.0,0.0,10.0651,129.816,252.56,324.51,350.104,361.749,314.834,197.725,119.594,57.53,11.0931,24.5896,122.041,290.15,513.497,837.219,1022.1,1246.91,1074.28,278.991,532.96,817.025,1020.84,1113.93,1248.85,1245.65,1180.08,1060.16,1086.88,996.036,845.777,583.313,492.13,278.803,346.527,274.596,263.85,319.788,344.088,418.989,581.876,714.382,751.223,675.113,518.319,453.023,304.702,145.525,53.9667,19.7568,0.0,0.0,0.0,0.0,0.0,0.0,0.0,0.0,9.7605,162.722,250.821,323.798,395.443,446.765,454.263,407.523,299.428,107.763,52.2514,249.862,425.009,421.535,281.46,91.1961,0.0,0.0,4.89403,38.5149,70.9403,71.2477,39.1992,18.1547,6.97719,11.1579,41.2339,134.002,329.539,463.994,479.123,446.766,409.229,321.514,257.181,460.971,638.131,776.989,816.27,758.746,692.325,567.567,380.142,255.605,207.509,266.119,326.126,198.363,294.521,320.781,353.023,573.466,882.437,983.755,920.625,951.529,1059.05,1235.16,1303.56,1290.41,1233.76,1255.23,1247.47,1215.68,1201.66,1203.82,1209.86,1187.8,1106.78,999.543,868.046,861.041,1045.89,1070.39,1091.15,1090.84,1086.16,1079.0,1021.71,931.491,811.381,679.726,488.321,310.794,250.766,164.716,74.4825,31.1696,35.0523,79.5561,135.872,111.668,71.6915,42.9098,26.9236,51.5419,157.685,156.422,162.103,161.012,131.645,110.148,98.5786,90.0539,95.5385,90.4233,81.2845,98.1093,126.287,128.834,75.1255,13.0369,0.0,0.0,0.0,0.0,0.0,0.0,0.0,0.0,3.8738,0.0,0.0,0.0,0.0,0.0,4.41071,32.4145,64.2509,107.529,103.417,134.585,247.514,301.998,230.505,104.406,24.9399,0.0,0.0,0.0,0.0,0.0,0.0,0.0,0.0,0.0,0.0,0.0,0.0,0.0,0.0,0.0,0.0,0.0,0.0,0.0,0.0,74.975,136.397,109.716,46.9171,17.4211,2.04258,0.0,0.0,6.40845,33.0571,9.82988,0.0,87.282,118.327,111.631,82.7324,51.6034,33.9834,27.1662,8.33207,0.0,0.0,0.0,0.0,0.0,7.44148,47.2361,87.5961,147.649,202.322,219.556,234.964,217.452,196.037,170.473,108.744,247.238,671.596,645.099,491.533,685.054,842.543,633.592,292.762,371.949,527.77,749.75,1167.65,1172.45,1157.14,1113.8,1289.46,405.659,495.711,968.871,1135.2,1228.24,1222.9,1055.0,732.822,672.689,1028.27,1133.81,1118.99,1071.95,1073.03,1026.46,882.482,652.059,438.04,350.465,227.222,103.976,38.8884,27.434,46.2782,51.4257,50.7555,42.2047,17.8239,1.77118,3.86149,10.467,80.0177,187.463,250.112,335.138,419.357,441.854,403.726,344.74,299.006,244.307,181.552,117.42,130.531,175.258,203.015,258.706,267.093,228.215,192.284,140.551,83.7445,47.5367,23.7479,36.3659,57.1256,115.814,197.488,296.236,381.899,390.135,337.992,283.097,218.515,127.952,0.0,0.0,0.0,11.084,116.655,199.773,271.311,272.336,231.327,171.3,145.911,172.708,204.547,111.308,443.11,707.503,811.223,822.061,799.908,742.576,646.196,538.897,541.103,437.078,261.828,125.185,52.1484,6.47918,0.0,0.0,0.0,0.0,0.0,0.0,0.0,0.0,0.0,0.0,0.0,0.0,0.0,0.0,0.0,0.0,0.0,0.0,0.0,0.0,0.0,0.0,0.0,0.0,0.0,107.758,260.366,306.053,225.114,221.93,287.036,371.83,384.831,227.645,104.046,411.147,584.551,612.26,564.557,450.734,330.394,239.032,139.733,29.2006,0.0,0.0,0.0,0.0,0.0,0.0,0.0,0.0,0.0,0.0,0.0,0.0,7.47091,0.0,0.0,0.0,0.0,0.0,36.6113,60.2168,64.5649,50.547,12.6849,0.0,0.0,0.0,0.0,39.9868,164.838,336.536,527.511,643.512,649.056,564.955,497.194,456.876,449.411,280.223,115.212,86.6555,197.085,285.122,412.734,532.995,591.511,571.148,489.218,346.563,142.968,92.5373,73.3528,50.9852,30.0956,15.3213,9.70891,32.9347,106.696,181.965,217.882,222.344,178.609,23.9995,0.0,0.0,0.0,0.0,0.0,4.65852,51.5747,81.8308,74.7227,49.2683,61.6879,137.31,259.17,439.814,663.441,801.224,830.51,838.063,812.369,759.858,737.987,796.319,726.061,500.834,314.601,236.322,75.7626,0.0,0.0,0.0,0.0,0.0,0.0,0.0,60.7025,271.579,643.363,909.581,1032.52,967.055,788.46,566.687,450.977,378.167,378.657,282.822,228.393,154.51,132.828,50.7756,0.0,0.0,0.0,0.0,0.0,0.0,0.0,0.0,0.0,0.0,0.0,25.8221,193.167,459.773,595.628,621.848,593.981,532.486,421.184,298.55,195.358,48.5635,0.0,0.0,0.0,0.0,0.0,0.0,0.0,0.0,0.0,0.0,102.388,401.966,651.841,675.145,511.144,283.175,184.457,272.472,338.495,389.734,358.413,247.771,144.237,60.1635,51.1722,204.986,266.961,0.0,0.0,0.0,0.0,1.50008,10.9966,68.9736,250.333,513.617,722.226,749.052,650.464,491.868,365.63,355.015,255.917,175.554,181.963,170.179,160.887,274.586,285.69,137.663,25.4044,0.0,0.0,0.0,0.0,41.2073,147.816,295.179,415.047,448.147,480.599,468.87,308.08,150.269,81.7978,85.8541,96.7733,147.053,328.72,450.207,388.879,288.823,219.501,177.642,174.131,128.882,52.8407,0.0,0.0,0.0,0.0,0.0,0.0,5.8813,63.7971,71.6854,72.0832,63.6234,32.1837,0.0,0.0,0.0,0.0,0.0,0.0,0.0,0.0,0.0,0.0,0.0,0.0,19.0377,72.3457,114.152,128.763,116.076,19.5686,0.0,0.0,0.0,0.0,0.0,0.0,0.0,25.1557,51.738,98.6591,122.69,141.317,157.97,157.51,121.856,91.8344,98.0055,127.072,196.774,230.621,127.072,27.6146,6.36812,23.8573,107.417,481.356,803.619,735.2,534.162,387.377,331.878,350.533,290.195,294.482,249.51,256.183,341.08,443.043,433.012,415.673,450.272,513.002,619.325,718.779,784.769,829.473,853.271,808.372,632.198,467.299,273.508,170.646,136.808,108.355,129.274,222.224,313.247,344.719,304.535,279.127,501.964,858.159,1033.42,1108.5,1146.55,1159.88,1150.0,1149.5,1178.28,1195.31,1179.46,1127.87,934.565,751.419,554.219,275.277,149.114,139.485,146.512,145.136,152.129,158.859,162.601,179.713,239.016,351.948,318.731,262.569,221.579,211.744,227.553,243.701,218.582,191.364,159.76,162.306,246.783,439.482,486.392,364.007,226.864,118.573,63.0608,32.3545,3.96665,0.0,9.69442,32.3888,25.3597,0.0,0.0,0.0,0.0,0.0,0.0,0.0,0.0,0.0,0.0,0.0,105.728,370.765,519.008,466.176,358.229,274.893,217.51,178.122,154.908,148.617,152.431,139.504,19.2306,0.0,0.0,0.0,0.0,0.0,0.0,0.0,0.0,0.0,8.17761,107.895,380.485,664.283,804.269,713.971,607.98,573.754,548.436,510.603,475.228,454.184,452.925,374.493,320.598,259.718,92.4922,0.0,0.0,0.0,0.0,0.0,0.0,0.0,0.0,0.0,0.0,0.0,0.0,0.0,3.95272,33.4308,77.3729,101.517,96.4407,81.2232,66.5097,27.5894,0.0,0.0,0.0,1.2417,36.9996,56.7923,63.705,67.2137,69.6795,90.8724,185.326,411.793,624.986,672.704,535.93,400.053,277.816,166.706,93.3016,60.8897,59.2047,53.5892,45.9478,32.5458,0.0,0.0,0.0,0.0,0.0,0.0,0.0,0.0,0.0,0.0,0.0,29.8883,103.937,256.932,398.12,469.971,467.045,478.341,506.264,514.34,489.707,418.853,340.865,228.648,35.8597,0.0,0.0,0.0,0.0,0.0,0.0,0.0,0.0,0.0,8.89441,13.2662,0.792937,0.0,0.0,0.0,0.0,31.2986,107.714,185.134,181.273,99.6029,21.0287,0.0,0.0,0.0,143.704,299.319,372.492,385.045,346.074,270.796,165.042,65.7206,0.0,0.0,0.0,71.3453,231.236,352.574,418.489,483.123,515.503,540.355,621.792,706.539,509.6,278.259,102.554,22.0674,69.7164,164.885,190.711,173.333,167.296,179.608,214.593,208.679,106.004,0.0,0.0,38.5919,79.997,35.4024,0.405022,0.0,0.0,0.0,0.0,0.0,0.0,0.0,0.0,0.0,0.0,0.0,0.0,0.0,0.0,0.0,0.0346041,0.0,0.0,0.0,0.0,0.0,0.0,0.0,0.0,0.0,0.0,0.0,0.0,0.0,5.48991,0.540032,0.0,0.0,0.0,0.0,0.0,0.0,0.0,0.0,0.0,0.0,0.0,0.0,0.0,0.0,0.0,0.0,0.0,0.0,0.0,7.17909,25.1387,38.1848,41.3154,44.584,9.93549,194.038,464.537,637.885,771.128,796.918,770.791,744.953,722.489,679.413,620.373,554.855,588.685,694.256,647.722,538.278,549.181,614.145,591.238,633.119,639.24,573.745,511.625,595.759,673.534,539.097,323.595,247.317,272.071,270.711,271.721,338.488,431.79,509.168,567.811,660.438,699.151,567.357,452.917,380.207,307.531,273.781,228.872,184.504,148.295,125.126,109.635,61.1095,16.5498,0.0,0.0,0.0,0.0,0.0,0.0,0.0,0.0,0.0,0.0,0.0,0.0,0.0,0.0,0.0,0.0,0.0,13.7185,45.7665,68.0665,84.7733,95.6053,85.1699,3.66693,0.0,0.0,3.34385,6.19111,10.4188,4.10365,0.0,0.0,0.0,0.0,0.0,0.0,0.0,0.0,0.0,0.0,0.0,0.0,0.0,0.0,0.0,0.0,0.0,0.0,0.0,0.0,0.0,0.0,0.0,0.0,13.4909,59.4398,122.203,187.4,238.285,446.956,920.004,995.25,745.861,500.95,322.845,176.234,126.019,124.797,134.005,153.091,109.575,150.063,243.874,321.361,361.416,433.408,540.093,685.478,839.634,917.626,969.457,962.156,927.248,782.675,569.645,280.83,118.597,46.7845,14.2672,10.3528,13.8889,7.94753,0.0,0.0,0.0,56.8728,276.87,404.817,441.542,427.894,413.553,421.71,427.215,431.589,447.54,468.751,462.283,425.702,478.885,435.926,313.656,166.808,65.6778,15.8774,0.0,0.0,0.0,0.0,0.0,0.0,0.0,1.72798,54.9782,120.895,165.018,179.297,186.18,193.194,197.704,210.365,225.991,247.82,312.836,302.124,200.775,98.0545,28.1639,0.0,0.0,0.0,0.0,0.0,0.0,0.0,3.08795,182.084,230.072,272.496,354.423,480.069,597.381,689.969,712.848,644.009,495.218,306.147,212.846,131.498,89.4192,86.1623,89.1759,90.9581,92.8641,122.434,129.242,138.061,92.6315,95.0171,245.715,191.206,112.273,60.3599,34.9404,25.9419,24.809,33.5121,45.197,53.2378,81.0533,157.372,265.957,324.666,304.34,226.295,151.749,98.8339,52.3109,15.4397,0.0,0.0,0.0,0.0,0.0,0.0,0.0,8.09044,33.0689,53.7621,74.5082,95.8016,121.63,159.605,219.73,276.699,335.935,292.467,181.99,79.1047,30.938,7.5003,0.0,0.0,0.0,0.0,0.0,0.0,0.0,0.0,0.0,0.0,0.0,0.0,0.0,0.0,0.0,1.90739,30.6305,82.6686,327.727,539.439,526.278,400.086,66.0997,0.0,0.0,0.0,28.0932,93.8232,117.686,25.1892,114.412,404.154,453.163,485.184,511.782,550.489,593.421,627.883,614.451,545.465,432.703,351.164,258.432,164.1,110.095,66.7019,7.6022,0.0,0.0,0.0,0.0,0.0,17.5876,0.0,0.0,0.0,0.0,0.0,0.0,6.74391,22.6466,18.8038,1.53211,0.0,6.05793,282.862,736.573,816.021,688.227,692.107,739.713,678.072,626.191,685.222,528.698,369.316,191.481,150.61,109.68,32.9869,0.0,0.0,0.0,0.0,0.0,0.0,0.0,0.0,63.6166,349.168,786.832,1006.77,986.408,937.245,831.68,605.567,419.35,317.887,284.51,299.338,253.756,177.83,512.489,635.027,618.956,640.591,744.678,818.759,791.506,716.692,662.625,673.35,728.727,894.934,996.137,967.347,911.047,835.201,745.768,651.93,561.706,487.697,504.296,476.119,242.74,83.5228,203.757,225.433,117.963,13.1498,0.0,0.0,0.0,0.0,0.0,0.0,95.0207,632.27,965.82,1023.14,952.151,817.177,704.193,626.768,545.911,422.21,305.923,211.295,117.101,108.44,199.707,313.67,346.919,354.907,298.22,240.882,233.222,310.45,516.09,831.27,1032.37,898.56,801.684,723.586,610.702,502.321,356.422,222.645,153.601,99.1865,49.5748,39.0471,0.0,0.0,90.1861,265.588,407.191,423.18,286.981,135.799,35.0308,0.0,0.0,0.0,0.0,60.2424,261.166,434.256,483.961,450.067,314.768,157.814,33.8549,0.0,0.0,0.0,0.0,0.0,0.0,0.0,0.0,0.0,0.0,0.0,47.8599,116.22,180.395,268.266,412.958,550.363,653.05,555.788,398.84,322.042,281.392,210.246,161.681,115.554,59.2337,22.2706,0.0,0.0,0.0,0.0,0.0,0.0,0.0,0.0,0.0,0.0,0.0,0.0,0.0,0.0,0.0,0.0,0.0,0.0,0.0,29.4896,73.1337,106.081,122.858,122.858,50.3406,6.31535,0.0,0.0,0.0,64.6181,98.0511,100.413,89.6339,61.281,20.096,0.0,0.0,0.0,0.0,0.0,0.0,0.0,0.0,4.95385,3.82498,0.0,0.0,0.0,0.0,15.539,119.253,243.773,354.263,406.842,416.73,421.272,433.509,401.61,329.025,228.269,100.576,25.0787,53.8218,64.4119,41.9365,22.7063,8.01274,0.0,0.0,0.0,0.0,0.0,0.0,0.0,0.0,33.7571,101.48,188.193,163.655,96.3399,49.0393,0.0,0.0,0.0,0.0,0.0,55.2032,222.15,355.835,445.003,506.68,525.059,513.005,502.252,528.244,546.344,315.681,24.0243,334.927,412.25,85.7126,184.637,317.812,372.869,383.254,577.773,392.5,127.927,142.987,244.429,431.753,499.859,474.403,363.661,165.002,30.642,0.0,0.0,0.0,0.0,0.0,0.0,0.0,0.0,14.1466,41.3903,22.9894,0.0,0.0,0.0,0.0,0.0,0.0,16.2912,112.065,184.386,192.371,175.987,110.39,86.108,183.309,282.65,289.808,288.525,229.437,211.528,319.66,444.954,432.137,337.505,251.864,178.113,141.831,148.057,179.296,217.371,165.354,110.467,160.849,203.553,224.163,205.28,174.424,146.357,128.675,117.071,103.229,69.6003,14.366,0.536676,0.0,0.0,0.0,9.40672,10.5534,0.0,0.0,0.0,18.2577,51.4579,72.6215,87.3794,121.182,158.048,152.433,130.186,110.312,67.6562,27.638,4.5354,0.0,5.42712,0.0,0.0,3.57248,0.0,0.0,0.0,0.0,0.0,8.00738,74.5591,189.749,376.334,512.12,539.767,653.808,671.356,610.252,578.26,551.024,522.761,501.755,481.987,440.233,420.534,291.245,257.195,185.835,64.6381,0.0,0.0,0.0,0.0,0.0,0.0,0.0,0.0,0.0,61.71,251.335,413.503,492.92,535.008,583.48,633.97,614.27,694.952,543.276,431.319,304.605,315.817,165.857,12.0602,0.0,0.0,0.0,0.0,0.0,0.0,0.0,0.0,0.0,5.21779,88.6442,178.212,225.44,238.68,267.989,309.827,349.159,372.062,375.039,366.744,243.88,192.505,103.064,0.0,0.0,0.0,0.0,0.0,0.0,0.0,0.0,0.0,0.0,87.9086,504.956,767.117,861.156,971.881,949.741,884.415,738.358,580.22,430.284,258.072,172.142,119.97,110.781,98.4154,50.1157,0.0,0.0,0.0,0.0,0.0,0.0,0.0,0.0,0.0,106.794,300.899,475.264,595.591,716.627,768.037,767.189,760.05,742.31,701.103,486.496,419.384,324.422,135.969,0.297053,0.0,0.0,0.0,0.0,0.0,0.0,0.0,0.0,0.0,0.0,0.0,0.0,0.0,0.0,0.0,0.0,27.036,96.1638,112.995,61.0451,8.06839,0.0,0.0,0.0,0.0,45.3623,490.259,1001.79,1173.26,987.799,828.165,768.845,623.577,559.478,447.995,336.977,233.393,156.747,92.2193,51.6335,23.4052,4.17198,0.0,0.0,0.0,139.547,400.684,694.315,875.437,967.003,1011.38,1044.52,1016.69,921.449,835.812,803.143,758.195,766.969,563.534,273.844,67.4843,0.0,0.0,0.0,0.0,0.0,0.0,0.0,0.0,220.987,363.675,451.142,496.911,540.538,596.92,597.712,564.777,498.928,418.002,366.516,339.461,508.272,447.301,197.99,121.285,87.5374,93.2442,95.0505,54.649,12.4382,0.0,0.0,29.659,101.188,123.293,185.59,299.556,425.999,535.855,640.264,708.184,716.938,678.864,600.625,504.432,512.91,475.528,316.107,216.507,149.27,123.192,115.203,142.208,180.744,222.676,179.041,423.476,679.757,847.788,971.062,1098.83,1196.1,1256.48,1291.59,1295.86,1293.19,1275.03,1195.78,950.22,678.693,489.957,360.121,397.878,454.204,447.564,434.282,366.523,308.81,285.387,240.738,277.064,357.969,393.815,400.659,462.769,601.944,786.91,912.091,979.34,1007.52,992.037,891.692,655.755,449.103,314.264,219.905,186.541,179.272,184.105,181.06,187.535,186.248,196.918,158.768,272.201,401.767,569.446,635.276,653.639,699.423,728.606,762.271,795.239,826.194,795.516,630.994,486.041,439.781,387.977,302.147,264.503,257.333,221.763,184.722,152.35,104.711,66.0366,0.0,0.0,0.0,0.0,8.74394,58.1171,204.922,393.14,495.342,598.882,650.399,572.33,450.189,316.133,277.797,218.111,151.02,110.949,78.1559,62.1357,30.8921,0.0,0.0,0.0,0.0,0.0,0.0,0.0,0.0,0.0,0.0,0.0,0.0,0.0,0.0,0.0,0.0,0.0,0.0,6.13845,30.2956,38.396,48.3296,78.4165,131.183,188.851,232.514,248.686,172.48,107.379,84.4475,13.1438,0.0,0.0,0.0,0.0,0.0,0.0,0.0,0.0,20.8286,111.218,203.47,270.641,283.784,262.806,247.092,206.205,157.894,113.788,101.371,113.788,85.1123,57.4238,134.481,248.377,312.023,321.215,303.005,290.587,287.038,274.125,236.89,190.628,147.927,93.1987,161.697,270.793,323.856,310.612,268.5,204.661,163.208,166.832,182.589,193.559,117.41,83.4459,192.779,244.875,292.604,339.543,359.34,383.089,441.944,521.248,600.33,648.881,649.58,597.369,770.054,856.536,837.044,711.688,588.02,437.02,299.984,227.01,180.483,154.252,101.758,153.555,188.669,204.221,235.707,256.69,253.155,248.301,243.915,252.427,278.906,332.828,382.397,457.056,654.362,813.024,753.043,696.723,675.523,620.137,580.164,526.988,462.544,419.25,282.801,389.631,391.808,370.119,353.171,327.881,254.225,170.896,112.539,86.7903,85.5669,104.378,150.671,212.542,410.491,700.883,855.659,776.207,647.329,530.598,473.003,438.667,414.205,395.345,273.511,450.603,404.933,263.604,160.945,89.1202,37.3118,3.69061,0.0,0.0,0.0,0.0,0.0,22.5923,169.736,471.134,752.947,833.761,735.971,642.044,557.621,471.072,394.165,366.254,206.725,347.946,355.083,239.825,142.656,58.2226,4.2308,0.0,0.0,0.0,0.0,0.0,0.0,0.0,0.0,0.0,87.3193,265.885,386.595,391.653,326.664,214.118,101.713,37.8129,0.0,0.0,0.0,0.0,0.0,0.0,0.0,0.0,25.7925,98.2749,196.779,326.927,414.893,475.726,571.06,577.392,508.914,415.976,347.946,324.576,271.401,189.349,144.27,131.046,55.8386,19.0598,0.0,0.0,0.0,0.0,0.0,0.0,0.0,0.0,0.0,0.0,0.0,13.2504,289.772,516.706,564.548,477.742,334.629,193.274,147.047,195.519,214.715,194.431,159.403,214.839,221.699,88.3157,10.6786,0.0,0.0,0.0,0.0,0.0,0.0,0.0,0.0,30.0747,237.272,289.646,257.685,265.285,246.344,156.077,66.0585,30.5866,12.0185,0.0,0.0,0.0,0.0,0.0,0.0,0.0,118.393,291.113,445.178,511.491,551.209,619.478,685.469,628.655,559.852,433.673,323.147,282.71,233.007,208.256,199.567,201.661,205.654,195.647,103.221,257.494,201.568,26.5907,0.0,0.0,0.0,0.0,0.0,0.0,0.0,14.7223,97.0019,362.844,741.432,852.877,862.623,769.743,733.393,709.314,638.67,595.685,594.229,580.441,411.839,363.709,237.876,63.9613,0.0,0.0,0.0,0.0,0.0,0.0,0.0,0.0,0.0,77.9234,366.054,553.678,621.895,671.272,727.585,704.132,617.958,527.277,453.795,416.961,301.071,243.749,177.413,67.6725,0.0,0.0,0.0,0.0,0.0,0.0,0.0,0.0,114.217,457.641,743.268,764.931,705.526,615.262,602.872,522.088,433.169,332.202,309.642,319.112,282.058,393.075,366.218,260.196,164.88,103.657,89.2276,101.905,121.742,158.63,217.165,302.791,419.822,567.833,797.338,837.782,784.977,761.124,634.389,547.426,427.947,315.788,246.323,225.135,217.745,362.254,435.537,395.949,293.205,182.215,77.5496,12.7131,0.0,0.0,0.0,0.0,0.0,0.0,40.5891,182.826,299.204,345.687,329.618,274.139,190.332,125.593,61.3124,26.4968,0.0,0.0,0.0,0.0,0.0,0.0,0.0,0.0,0.0,50.0857,171.335,374.823,615.115,787.22,867.06,814.449,698.092,592.872,511.212,457.127,405.382,366.146,324.761,295.973,147.572,189.196,216.974,160.789,144.163,165</t>
  </si>
  <si>
    <t>0.0,0.0,0.0,0.0,0.0,0.0,0.0,0.0,0.0,0.0,0.0,0.0,0.0,0.0,0.0,0.0,0.0,1.33081,0.0,0.0,0.0,0.0,0.0,0.0,8.42409,15.9573,22.3484,18.6574,12.7962,19.4583,18.6266,39.0879,83.7148,134.737,192.157,225.382,213.436,155.884,115.81,93.0302,43.9036,9.45155,0.0,0.0,0.0,0.0,0.0,0.0,0.0,0.0,0.0,0.0,0.0,0.0,0.0,0.0,0.0,0.0,0.640688,3.26148,0.855554,0.0,0.0,0.0,0.0,8.71914,14.3978,16.5582,16.2495,9.74049,2.62455,0.0,0.0,0.0,0.0,0.0,3.3597,13.7374,6.44218,11.1327,33.6029,43.207,42.5689,37.0966,19.6341,7.72194,0.0,0.0,0.0,0.0,0.0,0.0,9.45972,12.1923,9.78516,6.72671,1.9384,0.0,0.0,0.0,2.04666,7.94067,0.0,0.0,29.0931,67.6522,81.3215,80.519,54.4841,27.9404,32.5704,68.1548,80.599,64.575,64.7715,80.6879,86.0486,63.6254,44.9025,36.2603,27.5877,20.6114,15.0985,20.2369,21.0325,17.7322,7.43224,0.0,23.6273,50.9452,54.5782,52.7795,40.734,24.3548,23.5278,30.438,33.2458,28.0507,18.9434,9.03079,0.0,0.0,0.0,0.0,0.0,0.0,0.0,0.0,0.0,0.0,0.0,0.0,0.0,0.0,0.0,0.0,0.0,0.0,0.0,0.0,0.0,0.0,0.0,0.0,0.0,0.0,0.0,3.16923,9.81022,18.1395,26.608,28.4471,24.7688,22.4841,19.5371,12.9902,19.3597,17.3259,19.3903,16.771,9.79594,1.39026,9.28707,33.6215,74.2222,102.873,135.029,147.057,137.483,122.233,104.276,90.4656,82.3999,82.033,75.3823,90.4377,86.0398,34.4287,10.319,6.68476,22.8168,39.8452,33.1102,25.2757,20.5174,0.0,0.0,0.0,7.65709,54.4382,137.324,191.745,163.434,181.45,166.579,123.482,64.1321,60.5877,60.5877,52.5405,56.1314,58.1575,42.2852,62.0219,91.5662,84.0311,56.4186,35.4767,22.522,3.69693,0.0,7.63687,32.5046,69.1996,93.0054,97.3024,86.7684,81.2382,40.7397,29.6236,32.3796,30.7168,22.7498,23.9946,31.0223,35.934,33.8906,46.3019,46.3019,31.9564,15.6151,0.0,0.0,0.0,0.0,37.8611,88.7933,103.272,94.8985,99.2193,82.0505,47.3594,34.3705,50.0661,61.2095,67.7036,55.5305,40.5538,20.5773,0.0,0.0,0.0,0.0,0.0,0.0,7.28383,23.2639,52.0005,119.204,189.01,101.489,55.5825,50.5455,53.9487,55.8596,53.5122,48.5994,47.8825,45.0933,51.5338,52.6158,59.0733,62.8892,61.4683,124.715,143.305,124.105,106.38,104.139,108.213,108.122,105.772,90.7291,77.7956,49.6724,36.6404,28.8514,17.4176,7.79388,0.0,0.0,0.0,0.0,0.0,0.0,0.0,0.0,0.0,0.0,0.0,0.0,0.0,0.0,0.0,0.0,3.61356,21.2862,34.7003,35.6309,33.7696,32.5288,33.1492,33.4594,30.6731,30.3646,29.7475,26.045,19.9111,10.1288,4.13172,3.82797,5.85708,31.2911,95.9295,214.925,296.205,344.64,328.788,309.998,258.736,152.346,88.8584,58.5821,37.9766,21.7912,16.1347,16.4989,12.7803,8.54397,0.0,1.89625,8.22666,10.9897,12.2691,9.53969,7.35411,18.1589,96.2394,128.605,125.945,117.486,110.165,95.9165,78.2946,33.3838,20.2818,17.7312,8.55707,0.0,0.0,0.0,0.0,0.0,0.0,0.0,0.0,0.0,0.0,0.0,0.0,0.0,4.28881,27.931,32.8023,34.3904,36.7135,38.5658,27.905,10.7348,10.7604,24.0114,52.2137,80.6646,89.5541,93.0966,102.094,107.884,132.994,160.82,144.265,135.399,89.1753,52.0438,35.5116,37.9088,87.3593,102.712,182.202,279.943,313.647,295.925,204.522,89.0522,79.2993,95.4233,86.0926,54.6159,50.9716,34.7827,11.5059,0.0,8.00155,17.1283,10.8845,7.85698,1.82781,25.8352,102.482,150.535,215.729,261.594,308.578,352.29,366.408,359.583,300.281,168.667,93.1792,63.2077,61.9591,54.3025,46.8711,39.8808,25.7073,21.7742,20.6857,28.4596,30.0177,23.6772,15.1395,6.66536,0.0,0.0,0.791391,10.4272,15.9708,17.3494,16.3141,14.1049,11.7375,9.46311,23.5502,48.9107,73.3136,85.3313,82.269,70.5679,54.1539,43.9794,30.994,22.2015,11.2955,4.15851,8.91199,28.0337,36.479,42.6806,54.3724,74.1744,125.876,217.197,232.77,208.989,204.454,269.111,321.391,346.772,355.238,371.73,302.843,313.394,242.83,165.505,144.645,126.0,102.615,114.52,86.0774,32.611,1.54575,0.0,0.0,0.0,0.0,0.0,0.0,0.0,0.0,0.0,0.0,18.1857,64.2727,74.7931,75.7176,73.9676,88.103,85.0101,33.6395,34.9727,36.9362,35.7589,38.8635,52.4531,45.6561,44.0578,70.2276,192.007,311.335,354.387,312.993,229.878,142.893,104.905,110.19,110.56,101.311,89.1491,87.6935,75.5805,57.3076,51.3869,41.2102,43.0517,38.5381,20.1966,11.9101,10.8794,6.95658,3.95784,0.0,0.0,0.0,0.0,0.0,0.0,0.0,0.0,0.0,0.0,0.0,0.0,0.0,0.0,0.0,0.0,0.0,0.0,0.0,0.0,0.0,0.0875282,8.6328,18.4693,21.2161,21.2749,10.8143,2.50387,0.0,0.0,0.0,0.0,0.0,0.0,12.1805,21.1584,14.2746,19.3546,24.6913,31.3064,35.0573,37.872,47.2173,68.2357,85.4292,85.2756,70.069,52.4624,38.7758,51.3438,51.2006,38.7867,29.5246,31.4206,40.5205,34.8603,27.2835,27.5651,38.1279,40.0486,23.8246,6.85986,0.0,0.0,0.0,0.0,0.0,0.0,0.0,0.0,0.0808344,0.0,0.0,0.0,10.6812,21.2312,20.9577,18.004,10.8671,1.76697,0.0,0.0,0.0,0.0,0.0,0.0,0.0,0.0,0.0,0.0,0.0,0.0,0.0,0.0,0.0,0.0,0.0,0.0,0.0,1.27065,5.47731,8.00874,10.7945,15.2622,21.1095,28.1212,29.9346,23.2744,15.5322,8.45255,0.0,0.0,0.0,0.0,0.0,0.0,0.0,0.0,0.0,0.0,0.0,0.0,0.0,0.0,0.0,0.0,0.0,0.0,0.0,0.0,0.0,0.0,0.0,0.0,0.0,0.0,0.0,0.0,0.0,0.0,0.0,0.0,0.0,0.0,0.0,0.0,1.77052,9.08513,13.5901,15.1275,2.05828,0.0,22.0117,52.8195,76.4651,69.6912,54.9343,38.3366,34.0666,41.3668,45.9997,38.993,11.6844,0.729148,0.0,0.0,0.0,0.0,0.0,0.0,0.0,0.0,0.0,0.0,0.0,0.0,0.0,0.0,0.0,0.0,0.0,0.0,0.0,0.0,0.0,9.84229,19.773,24.2729,21.7874,12.9318,9.76202,9.63514,9.48924,29.5638,44.1783,73.803,94.0614,105.94,91.1188,97.8947,126.419,155.399,145.437,106.698,68.895,53.1018,51.4123,56.9636,78.2519,89.3339,99.4707,118.96,162.294,178.819,168.108,152.534,147.939,162.704,214.37,260.502,254.763,255.368,266.26,285.835,329.814,357.62,358.056,354.234,348.554,328.057,291.252,295.504,280.891,268.783,250.879,228.336,204.293,166.499,117.225,80.863,65.6065,33.1075,29.612,49.947,50.3132,31.8763,32.7863,46.0625,52.1102,49.2241,42.4017,34.6597,22.9123,12.0875,18.8227,51.4274,88.7226,107.778,118.344,160.306,143.183,109.747,85.4528,128.414,189.496,165.619,123.139,107.408,116.252,131.162,139.277,97.7825,48.7603,10.3158,0.0,0.0,0.0,0.0,0.0,0.0,0.0,0.0,0.0,0.0,0.0,0.0,0.0,0.0,0.0,0.0,0.0,0.0,0.0,0.0,0.0,0.0,0.0,0.0,0.0,1.60072,7.9388,8.36845,2.30907,0.0,0.0,0.0,0.0,0.0,0.0,0.0,0.0,0.0,0.0,0.0,5.94971,13.1218,17.9855,13.3805,2.045,0.0,0.0,0.0,0.0,8.35491,17.0992,25.4601,28.8548,27.0774,26.4599,27.3862,29.5475,27.503,22.6714,18.4427,10.1956,0.0,19.726,95.244,133.543,166.149,189.786,194.406,168.421,215.931,260.277,255.409,255.721,218.181,265.288,250.38,155.926,171.094,163.246,157.484,133.137,211.75,288.078,251.845,220.839,200.031,216.165,261.106,326.758,376.51,402.223,441.219,471.842,507.721,579.147,571.891,365.261,165.299,86.9636,13.9403,0.0,0.0,18.3982,48.5809,86.248,159.141,244.945,252.975,308.496,386.772,502.089,492.689,460.281,415.928,387.67,369.226,308.806,237.243,223.522,224.003,224.332,216.488,201.235,211.588,218.728,229.62,198.734,100.576,74.3488,34.7763,20.0463,21.5439,33.6628,155.552,151.8,122.218,106.811,95.2795,93.1388,94.3621,87.0794,50.805,25.6189,16.7708,9.61129,3.90445,0.0,0.0,0.0,0.0,0.0,0.0,0.0,0.0,0.0,0.0,0.0,0.0,0.0,0.0,0.0,0.0,0.0,0.0,0.0,0.0,1.9095,6.60539,7.33395,5.60044,2.01652,0.0,0.0,0.0,0.0,0.0,0.0,0.0,0.0,0.0,0.0,0.0,0.0,0.0,0.0,0.0,0.0,0.0,0.0,0.0,0.0,0.0,0.0,0.0,7.65627,16.0726,22.1644,26.581,34.663,44.6044,53.9935,73.6115,90.5182,105.817,116.108,198.51,218.507,178.806,120.6,83.1244,60.2812,53.6129,48.0228,41.643,51.7544,67.7095,77.5531,77.5531,69.4886,51.9212,30.0632,10.872,0.0,0.0,0.0,0.0,0.0,0.0,0.0,0.0,0.0,0.0,0.0,0.0,0.0,0.0,0.0,0.0,0.0,0.0,0.0,0.0,0.0,0.0,0.0,0.0,0.0,0.0,0.0,0.0,0.0,0.0,0.0,0.0,0.0,0.0,0.0,0.0,0.0,0.0,0.0,0.0,0.0,0.0,0.0,0.0,0.0,0.0,0.0,0.0,0.0,0.0,0.0,0.0,0.0,0.0,0.0,0.0,0.0,0.0,0.0,0.0,0.0,0.0,0.0,0.0,9.19065,18.1267,24.3335,33.0447,38.1323,33.2983,19.2483,3.73869,0.0,0.0,0.0,0.0,0.0,0.0,0.0,0.0,0.0,0.0,0.0,0.0,0.0,0.0,0.0,0.0,2.20843,17.0497,26.6087,28.7588,22.2258,12.8425,4.59707,0.0,3.33305,5.45037,5.19006,8.14785,14.063,20.3261,13.7608,10.8766,90.6912,181.666,187.846,180.26,146.611,78.9399,14.2774,5.45221,36.5102,54.4027,52.0485,41.0713,38.334,43.801,24.6758,14.5405,29.0368,38.9228,46.5296,50.6671,48.0428,44.855,30.6633,14.9441,0.0,0.0,0.0,0.0,0.0,0.0,0.0,0.0,0.0,0.0,0.0,0.0,0.0,8.59283,10.5207,9.3133,5.65198,0.0,0.0,0.0,0.0,0.0,0.0,0.0,0.0,0.0,6.28383,10.0037,16.5855,15.4473,5.16296,4.86201,12.3625,35.4005,35.175,19.1541,10.2263,0.0,0.0,0.0,0.0,0.0,0.0,0.0,0.0,0.0,0.0,0.0,0.0,0.0,17.8475,32.3963,36.7907,34.5986,27.9974,12.1507,7.21968,8.43053,21.8798,50.6615,83.0517,91.1352,81.7164,51.4645,21.6708,0.71838,0.0,0.0,5.14892,21.5644,33.1969,29.7804,77.3977,72.3537,38.6602,23.3538,16.3697,9.30723,0.0,0.0,0.0,0.0,9.0955,52.1463,107.606,164.991,134.829,72.6292,28.5647,12.7036,17.9321,21.5176,16.4582,8.53575,0.0,0.0,0.0,7.75918,29.4571,30.9633,23.9474,18.3108,9.60398,0.0,0.0,0.0,0.0,0.0,0.0,0.0,0.0,0.0,0.0,0.0,0.0,7.6339,29.6505,62.8458,85.1156,89.1769,109.574,119.569,121.024,98.2711,52.989,13.7364,12.9162,36.2155,86.7905,141.479,214.408,206.846,178.892,177.283,129.343,86.2341,66.6391,32.0137,1.65729,0.0,0.0,0.0,0.0,4.22589,16.5585,34.1426,57.4913,86.0451,93.4545,90.8029,79.43,53.4335,66.9613,71.424,51.6072,27.6074,13.1757,9.27644,9.27644,9.54768,9.54768,9.68331,8.47982,3.80689,0.0,0.0,0.0,0.0,0.0,0.0,0.0,0.0,0.0,0.0,0.0,0.0,0.0,0.0,0.0,0.0,0.0,0.0,0.0,0.0,0.0,0.0,0.0,0.0,0.0,0.0,0.0,0.0,3.89118,10.3843,17.3547,21.2036,22.3955,20.1386,13.894,3.36488,7.9838,21.1751,36.4545,49.0442,53.9951,61.4026,71.6753,81.6405,72.8416,67.7569,59.4876,54.1009,64.0588,65.5825,75.4475,90.7449,90.464,72.2173,37.1213,10.1371,0.0,6.058,0.0,0.0,0.0,0.0,0.0,3.85137,21.5173,21.7977,12.0586,2.12994,0.0,0.0,0.0,0.0,0.0,0.0,0.0,0.0,1.7976,16.3787,25.2443,28.7168,20.9463,8.85442,0.0,0.0,0.0,0.0,0.0,0.0,0.0,0.0,0.0,0.0,0.0,0.0,0.0,0.0,0.0,0.0,0.0,0.0,0.0,0.0,0.0,0.0,0.0,0.0,0.0,0.0,0.0,0.0,20.0895,29.9395,22.6787,53.8604,204.058,208.237,167.008,198.032,267.997,349.953,408.693,231.91,126.688,220.87,285.027,283.26,288.223,292.18,308.483,334.368,331.487,260.636,198.639,157.235,109.426,91.7137,90.9625,85.7973,71.7652,53.4699,37.5633,24.5423,14.9593,8.1043,0.0,0.0,5.4569,0.0,0.0,0.0,0.0,0.0,0.0,0.0,0.0,0.0,0.0,0.0,0.0,0.0,0.0,0.0,0.0,0.0,0.0,0.0,0.0,0.0,0.0,0.0,0.0,0.0,0.0,0.0,0.0,0.0,8.5074,7.96975,0.0,0.0,0.0,0.0,0.0,0.0,0.0,0.0,0.627013,3.34968,4.55975,4.61196,6.42787,15.4035,19.4109,20.1741,8.43289,4.04178,8.65167,4.57401,0.0,0.0,0.0,0.0,0.0,0.0,0.0,0.0,0.0,0.0,0.0,0.0,0.0,0.0,0.0,0.0,2.71064,10.5582,13.9952,13.7738,0.123947,2.88225,30.4399,60.3814,84.877,97.6845,119.37,110.007,84.3004,54.7699,39.094,35.2611,28.0824,30.7267,32.7609,38.1663,39.7059,44.4953,35.7302,20.7469,7.51363,0.0,0.0,0.0,0.0,0.0,0.0,0.0,0.0,7.9206,0.0,0.0,0.0,0.0,0.0,0.0,8.00849,6.74893,0.0,0.0,0.0,0.0,0.0,0.0,4.55987,14.7397,19.0606,19.4762,15.4351,7.48064,0.0,0.0,0.0,0.0,0.0,9.59332,22.7886,39.2567,59.3215,89.6391,89.0513,75.7263,63.278,56.6367,48.1869,39.4924,32.9898,30.7762,32.3171,24.011,17.5831,25.856,43.8401,46.1133,35.3665,22.029,12.7105,9.54228,10.173,19.498,32.115,38.1644,25.5149,25.9152,50.5333,77.7248,92.2097,140.196,134.514,102.71,110.053,199.281,253.827,246.19,249.32,271.344,322.661,333.937,314.609,291.566,263.961,246.88,250.522,237.743,222.152,221.628,193.431,158.32,126.69,92.0084,51.4402,26.5465,15.4515,8.05954,5.57283,5.61313,0.119439,0.0,0.0,1.64348,2.65782,0.0,0.0,0.0,0.0,0.0,0.0,0.0,0.0,0.0,0.0,0.0,0.0,0.0,0.0,0.0,0.0,0.0,0.0,0.0,0.0,0.0,0.0,0.0,0.0,0.0,0.0,0.0,0.0,0.0,0.0,0.0,2.89289,8.39652,9.72638,17.9071,22.6998,19.6645,11.54,9.39814,7.15056,2.34219,0.0,0.0,0.0,0.0,0.0,0.0,0.445477,7.08009,0.748622,0.0,0.0,6.30184,17.2771,34.132,53.7122,71.3016,64.1768,53.2781,45.7795,34.058,21.184,10.3888,2.568,0.126218,3.23548,9.63924,14.2575,15.9551,11.3783,2.29624,18.3879,21.6634,10.8704,2.18555,0.0,0.0,7.66643,13.57,19.8794,21.8833,29.4235,39.3508,34.8314,20.0637,1.53215,0.0,0.0,0.0,0.0,0.0,0.0,0.0,0.0,0.0,0.0,0.0,0.0,0.0,0.0,0.0,8.78619,15.7703,19.272,10.0107,10.2612,11.6495,12.5237,14.9564,16.1931,11.8645,1.18839,0.0,0.0,0.0,0.0,0.0,0.0,0.0,0.0,0.0,0.0,0.0,0.0,3.0157,17.6008,28.8586,28.6726,16.0791,25.4343,71.8846,105.964,98.1146,75.3852,55.1115,43.8103,32.8724,35.0487,36.6567,45.6287,49.8,35.8813,53.7745,84.2455,75.5184,59.3018,54.3233,53.409,66.2825,95.8896,159.497,209.846,221.554,199.598,193.265,173.542,147.288,107.02,87.8292,84.0883,83.2524,77.4339,55.9513,37.5273,23.4981,11.1973,0.0,16.5852,66.3638,148.038,173.785,180.409,174.973,231.171,313.859,364.083,330.435,235.562,146.026,105.389,83.8746,74.4554,69.9964,46.5644,41.2614,44.2256,42.1574,34.984,27.1932,22.1573,13.0216,49.4995,154.376,182.295,176.24,170.493,173.166,199.313,231.339,257.015,250.6,180.619,129.808,95.8526,82.9361,62.5135,45.9706,30.6795,26.807,28.2026,33.5946,36.4763,30.2792,26.2378,28.4491,51.9402,47.3281,25.5128,14.1404,8.08594,6.0997,10.119,22.3023,40.5648,52.907,60.7369,72.7526,69.9609,56.4298,51.4301,36.4031,31.4903,30.5635,18.1635,8.00411,3.29232,3.85504,1.12066,8.88011,22.8973,26.511,28.5086,31.4083,35.4426,41.194,49.633,56.7159,75.7807,82.2188,60.8169,49.2615,32.6755,21.3097,13.8772,9.27627,2.234,0.0,0.0,0.0,0.0,0.0,0.0,0.0,0.0,0.0,0.0,0.0,0.0,0.0,0.0,0.0,0.0,0.0,0.0,0.0,0.0,0.0,0.0,0.0,0.0,0.0,0.0,0.0,0.0,0.0,0.0,0.0,0.0,0.0,0.0,0.0,0.0,0.0,0.0,0.0,11.0976,15.0523,11.0689,9.76336,8.03032,3.77217,0.0,0.0,0.0,0.0,0.0,0.0,0.0,0.0,0.0,0.0,0.0,0.0,10.8628,16.7849,29.2637,47.5837,60.885,75.3809,81.2059,67.9516,80.5908,100.353,116.302,85.4954,24.9774,0.0,0.0,0.0,0.0,17.1428,10.0344,0.0,0.0,0.0,16.3328,21.2022,21.328,21.8842,24.0965,26.6958,30.24,35.4592,33.373,21.5293,17.5498,19.2452,13.7185,9.3746,4.01472,0.0,0.0,0.0,0.0,0.0,0.0,0.0,0.0,0.0,5.47537,19.2917,33.2114,50.7843,64.3528,79.4441,88.1451,95.2731,98.8053,72.7578,54.6987,54.943,52.3734,30.229,12.0829,0.0,0.0,0.0,0.0,0.0,0.0,0.0,0.0,0.0,0.0,0.0,5.95964,10.9094,9.60338,4.42857,0.0,0.0,0.0,0.0,3.77937,10.9068,11.5667,9.41963,9.47775,14.7623,16.7536,14.0747,12.9297,10.3914,7.81321,9.57721,19.6698,24.9428,5.23583,0.291802,38.8116,43.7035,26.4738,18.8195,17.9366,10.8436,8.32715,9.08242,8.95904,5.7359,3.12275,2.29247,16.3568,39.8593,51.6566,41.4536,20.5154,0.0,0.0,0.0,0.0,0.0,0.0,0.0,0.0,0.0,14.3801,18.7136,20.4848,18.2907,9.56677,0.0,0.0,0.0,5.96729,33.8193,60.8245,81.3741,83.3939,90.3344,100.571,92.5053,85.4387,56.7737,42.8767,22.4672,2.14938,2.94143,54.247,150.483,182.68,182.538,178.827,174.075,139.568,87.3214,97.1466,105.664,103.858,106.008,81.3097,49.3495,29.5305,20.5902,28.7386,54.2582,78.4005,53.071,35.3413,31.5817,8.33701,0.0,16.5589,55.6575,94.4272,158.457,250.343,313.453,301.351,300.929,369.466,331.313,291.103,175.965,120.327,111.868,64.1559,38.5545,50.0723,119.789,183.266,121.391,165.137,101.126,39.8786,135.737,369.775,524.916,559.173,539.668,500.833,430.314,313.782,189.781,165.79,167.528,164.414,169.306,197.69,199.845,176.343,156.317,116.626,82.8848,61.7504,54.6697,87.7383,114.644,153.648,524.368,588.433,643.512,681.387,709.28,709.28,709.28,708.074,666.287,523.135,420.412,320.976,226.512,144.633,107.344,88.5065,67.6804,54.6533,49.7989,39.1231,22.6209,6.34765,0.0,0.0,38.2152,36.451,37.1097,51.159,69.354,80.5599,79.807,71.6857,47.8306,7.88103,9.91871,25.8166,43.3245,43.8404,51.7155,65.8231,83.6598,87.1259,81.3925,56.7692,39.654,11.2721,0.0,0.0,0.0,0.0,0.0,0.0,10.4056,16.6199,7.47751,28.7047,70.2608,61.5818,22.748,0.0,0.0,0.0,0.0,0.0,0.0,0.0,0.0,0.0,11.5975,28.2198,21.8209,0.0,0.0,0.0,0.0,0.0,0.0,0.0,0.0,0.0,0.0,0.0,0.0,0.0,0.0,0.0,9.9803,28.3938,40.8843,45.5428,47.6598,38.9009,20.7246,9.09971,0.0,0.0,0.0,9.33535,34.729,77.485,153.596,215.996,337.578,238.731,32.8431,81.4533,146.627,215.499,256.416,339.391,336.401,287.728,231.599,245.092,205.731,156.615,88.4992,71.5195,32.8113,44.8924,32.1004,30.2917,39.8278,44.449,54.5069,88.2898,114.828,125.463,105.459,78.718,61.7002,37.1885,11.5424,0.0,0.0,0.0,0.0,0.0,0.0,0.0,0.0,0.0,0.0,0.0,14.6942,28.1016,40.725,52.0315,60.2813,61.9814,53.3015,36.2971,7.96024,0.0,27.9404,55.3485,54.7747,33.2605,4.83959,0.0,0.0,0.0,0.0,0.00764127,0.0811004,0.0,0.0,0.0,0.0,0.0,10.3164,41.804,64.1875,67.8881,60.2814,53.4809,40.2141,29.1707,63.5023,96.7897,133.98,146.389,127.996,109.191,86.2006,50.4228,28.9058,21.8434,30.6732,41.1836,20.803,35.4678,40.0501,46.0735,87.059,166.555,200.895,177.214,188.761,231.04,327.421,410.448,381.807,326.375,345.353,338.101,312.852,301.366,303.181,308.267,292.602,254.007,207.112,163.169,161.4,225.363,236.763,247.248,247.094,244.73,241.114,215.842,181.274,144.843,106.444,70.4559,38.218,28.0923,15.092,0.85417,0.0,0.0,2.06663,10.4667,8.33637,0.18717,0.0,0.0,0.0,13.766,13.5351,14.5739,14.3744,10.1272,8.18998,6.42717,4.57541,5.77341,4.6637,2.47971,6.32625,9.69689,9.90144,1.00781,0.0,0.0,0.0,0.0,0.0,0.0,0.0,0.0,0.0,0.0,0.0,0.0,0.0,0.0,0.0,0.0,0.0,0.0,7.93774,7.46766,10.3633,27.5457,36.7315,24.6867,7.63697,0.0,0.0,0.0,0.0,0.0,0.0,0.0,0.0,0.0,0.0,0.0,0.0,0.0,0.0,0.0,0.0,0.0,0.0,0.0,0.0,0.0,0.971848,10.5088,8.14838,0.0,0.0,0.0,0.0,0.0,0.0,0.0,0.0,0.0,3.91299,8.97773,8.33284,2.82572,0.0,0.0,0.0,0.0,0.0,0.0,0.0,0.0,0.0,0.0,0.0,3.98805,11.9309,21.2534,23.2136,25.4361,22.9743,20.4976,16.2402,8.0548,27.4992,104.708,98.4748,71.3529,107.581,155.473,95.8257,35.1705,49.5143,80.7413,124.967,280.717,283.411,274.811,256.373,380.609,53.1055,72.5193,195.034,263.622,322.243,318.255,228.994,119.954,104.942,218.423,263.124,258.123,237.555,238.097,217.71,166.566,100.158,58.3031,45.6083,24.135,7.58787,0.0,0.0,0.0,0.0,0.0,0.0,0.0,0.0,0.0,0.0,2.17695,19.3453,27.9825,42.8218,54.5456,59.1677,52.9024,44.5675,36.2259,27.0066,18.4502,8.89039,10.0377,17.1947,21.3322,29.427,30.8369,24.3019,19.9932,10.8423,3.06759,0.0,0.0,0.0,0.0,8.73564,20.6926,35.7577,50.6076,51.4734,43.3408,33.5371,23.0952,9.83058,0.0,0.0,0.0,0.0,8.81669,20.9635,31.5459,31.7183,24.8249,16.4052,11.6132,16.6861,21.5065,8.30169,59.4525,113.07,144.793,148.249,141.216,122.778,98.7399,82.2677,82.5703,58.0848,29.9518,9.60842,0.0,0.0,0.0,0.0,0.0,0.0,0.0,0.0,0.0,0.0,0.0,0.0,0.0,0.0,0.0,0.0,0.0,0.0,0.0,0.0,0.0,0.0,0.0,0.0,0.0,0.0,0.0,7.95975,29.7061,37.4169,23.8458,23.4836,34.2028,49.4925,50.9159,24.2061,7.60228,53.6825,88.6796,92.7172,85.7877,61.1812,41.9595,26.1199,10.7767,0.0,0.0,0.0,0.0,0.0,0.0,0.0,0.0,0.0,0.0,0.0,0.0,0.0,0.0,0.0,0.0,0.0,0.0,0.0,0.0,0.0,0.0,0.0,0.0,0.0,0.0,0.0,0.0,0.0,15.1162,43.0762,80.7058,98.091,99.4315,85.8423,72.9332,62.5736,60.8812,33.0513,8.67772,3.76326,20.6385,33.8792,53.8493,81.4581,89.6939,86.7198,70.7064,44.8991,11.075,5.12801,0.584178,0.0,0.0,0.0,0.0,0.0,7.85749,18.5325,23.0232,23.5307,17.8632,0.0,0.0,0.0,0.0,0.0,0.0,0.0,0.0,2.61025,0.911565,0.0,0.0,10.5821,29.505,58.7052,102.91,141.632,151.229,153.893,145.155,128.371,121.45,140.083,117.996,73.9495,38.8615,25.6645,1.16007,0.0,0.0,0.0,0.0,0.0,0.0,0.0,0.0,31.5911,98.055,173.087,220.098,194.378,137.601,86.0799,61.2363,50.2153,50.2668,33.4906,24.3318,13.1854,10.2221,0.0,0.0,0.0,0.0,0.0,0.0,0.0,0.0,0.0,0.0,0.0,0.0,0.0,20.1119,63.2306,90.2937,94.1145,90.0538,81.3883,54.7377,36.1487,20.4064,0.0,0.0,0.0,0.0,0.0,0.0,0.0,0.0,0.0,0.0,0.0,7.24642,52.7173,100.105,105.466,76.8281,33.5503,18.9412,31.7413,43.4322,51.4313,47.0534,27.5889,11.307,0.0,0.0,21.5564,30.8147,0.0,0.0,0.0,0.0,0.0,0.0,0.0,28.0196,77.5184,116.886,124.732,99.7721,71.4464,48.3653,46.4356,28.9582,17.2538,18.5323,16.1817,14.3515,32.0987,33.9754,10.6104,0.0,0.0,0.0,0.0,0.0,0.0,11.9614,35.579,54.0925,60.5946,68.3,65.2933,37.7595,12.41,2.60238,3.57174,6.03894,11.8219,41.6552,61.0616,51.3414,34.5048,23.2073,17.6703,16.9699,9.90531,0.0,0.0,0.0,0.0,0.0,0.0,0.0,0.0,0.0,0.185715,0.280781,0.0,0.0,0.0,0.0,0.0,0.0,0.0,0.0,0.0,0.0,0.0,0.0,0.0,0.0,0.0,0.343505,8.5756,9.89576,8.76087,0.0,0.0,0.0,0.0,0.0,0.0,0.0,0.0,0.0,0.0,6.44448,9.3979,10.9039,13.8181,13.734,9.31761,4.97685,6.30392,9.7599,20.5968,24.7062,9.7599,0.0,0.0,0.0,7.92697,68.5115,142.388,120.643,81.6182,51.1835,42.2293,45.6207,34.7367,35.4612,27.8812,29.003,43.9022,59.4372,57.163,54.1584,61.0764,77.3467,93.7467,115.951,136.436,150.863,159.258,143.891,95.6227,64.9369,31.9164,16.2748,10.5418,8.01731,9.93672,23.517,38.6327,44.5637,37.1602,32.866,74.2651,160.671,220.453,254.586,268.866,276.351,270.805,270.52,286.685,297.348,287.351,261.119,182.422,125.528,84.3695,32.2154,12.1987,10.7568,11.723,11.4714,12.7501,13.9808,14.67,18.0833,26.1171,45.878,39.5913,30.0763,23.4437,22.325,24.1907,26.9048,23.1028,19.8696,14.1454,14.6112,27.4227,58.63,69.9175,48.0702,24.0748,9.00138,0.0,0.0,0.0,0.0,0.0,0.0,0.0,0.0,0.0,0.0,0.0,0.0,0.0,0.0,0.0,0.0,0.0,0.0,7.76433,49.299,78.8743,64.6824,47.02,32.1504,22.9809,17.766,13.2583,12.108,12.8054,10.7583,0.0,0.0,0.0,0.0,0.0,0.0,0.0,0.0,0.0,0.0,0.0,7.97303,50.459,103.114,142.594,114.723,92.0937,87.1012,83.5763,76.6771,66.8013,61.9635,61.6779,49.8563,40.0091,29.5971,5.1183,0.0,0.0,0.0,0.0,0.0,0.0,0.0,0.0,0.0,0.0,0.0,0.0,0.0,0.0,0.0,1.5449,7.05915,5.96742,2.46505,0.0,0.0,0.0,0.0,0.0,0.0,0.0,0.0,0.0,0.0,0.0,4.77,19.058,53.7504,94.5717,104.945,81.8607,52.5162,32.6446,15.4889,5.29237,0.0,0.0,0.0,0.0,0.0,0.0,0.0,0.0,0.0,0.0,0.0,0.0,0.0,0.0,0.0,0.0,0.0,7.57939,29.1288,52.313,65.5428,64.8795,67.6699,75.4656,77.7202,70.8431,54.4926,43.8632,24.3747,0.0,0.0,0.0,0.0,0.0,0.0,0.0,0.0,0.0,0.0,0.0,0.0,0.0,0.0,0.0,0.0,0.0,0.0,7.95559,19.0322,18.3945,6.64744,0.0,0.0,0.0,0.0,11.2096,36.2788,49.6128,50.9383,44.81,31.4594,15.1569,0.0,0.0,0.0,0.0,0.10442,24.8097,45.9918,54.4544,69.0047,78.0449,82.4677,94.1063,112.823,76.3971,32.7195,7.282,0.0,0.0,15.1257,19.7817,16.8108,15.6065,18.0624,22.6491,21.9765,7.79083,0.0,0.0,0.0,2.17202,0.0,0.0,0.0,0.0,0.0,0.0,0.0,0.0,0.0,0.0,0.0,0.0,0.0,0.0,0.0,0.0,0.0,0.0,0.0,0.0,0.0,0.0,0.0,0.0,0.0,0.0,0.0,0.0,0.0,0.0,0.0,0.0,0.0,0.0,0.0,0.0,0.0,0.0,0.0,0.0,0.0,0.0,0.0,0.0,0.0,0.0,0.0,0.0,0.0,0.0,0.0,0.0,0.0,0.0,0.0,0.0,0.0,0.0,20.229,64.3108,96.7304,132.129,140.272,132.022,123.466,116.962,106.377,93.8995,84.4568,89.282,109.684,99.1089,82.1828,83.6785,92.992,89.6541,95.7567,97.0579,87.0998,76.9624,90.3128,105.122,82.2951,40.6795,27.5125,31.6737,31.4452,31.6148,43.4309,56.8859,76.2762,86.2341,102.184,110.935,86.1717,61.676,50.4297,37.6666,31.9626,24.4123,18.9474,12.049,9.60362,8.1406,0.0,0.0,0.0,0.0,0.0,0.0,0.0,0.0,0.0,0.0,0.0,0.0,0.0,0.0,0.0,0.0,0.0,0.0,0.0,0.0,0.0,0.0,3.31345,5.78777,3.40822,0.0,0.0,0.0,0.0,0.0,0.0,0.0,0.0,0.0,0.0,0.0,0.0,0.0,0.0,0.0,0.0,0.0,0.0,0.0,0.0,0.0,0.0,0.0,0.0,0.0,0.0,0.0,0.0,0.0,0.0,0.0,0.0,0.0,9.35099,19.3367,25.9942,60.3245,176.981,205.421,123.729,73.9821,40.5118,17.3894,9.6754,9.57726,10.3167,12.9259,8.13479,12.3724,26.9338,40.1799,47.5992,57.2529,82.4318,107.671,154.448,176.093,195.264,192.732,179.688,135.775,86.4999,33.154,9.00371,0.0,0.0,0.0,0.0,0.0,0.0,0.0,0.0,0.0,32.4847,53.017,59.097,56.0025,53.9355,54.793,55.8486,56.8403,60.457,65.2663,63.7996,55.5055,67.8217,57.8236,38.7019,15.5092,0.0,0.0,0.0,0.0,0.0,0.0,0.0,0.0,0.0,0.0,0.0,9.22502,15.1521,18.0004,19.1727,20.1155,20.7217,22.1682,23.9455,27.5971,38.5632,36.7527,21.0774,6.31446,0.0,0.0,0.0,0.0,0.0,0.0,0.0,0.0,0.0,18.5563,24.614,31.7455,46.328,68.1521,90.5492,108.63,114.435,98.2112,72.3816,37.4328,22.4504,10.1154,4.42373,3.6454,4.36559,4.78841,5.19829,9.37327,9.93421,10.6424,5.14826,5.66129,27.2432,19.8483,8.39464,0.0,0.0,0.0,0.0,0.0,0.0,0.0,2.42444,13.7088,30.646,40.9181,37.1272,23.9801,12.6807,6.48206,0.0,0.0,0.0,0.0,0.0,0.0,0.0,0.0,0.0,0.0,0.0,0.0,0.860301,5.82998,9.29585,14.1171,23.2334,32.4558,42.9668,35.1207,18.5376,1.95876,0.0,0.0,0.0,0.0,0.0,0.0,0.0,0.0,0.0,0.0,0.0,0.0,0.0,0.0,0.0,0.0,0.0,0.0,0.0,2.81047,41.4745,82.342,80.523,52.5197,0.0,0.0,0.0,0.0,0.0,5.40454,8.91598,0.0,8.60066,52.9473,61.7318,69.5801,77.0061,83.8578,89.9721,94.9938,93.0365,83.1687,57.0929,45.7355,29.3809,14.9691,8.18487,0.0,0.0,0.0,0.0,0.0,0.0,0.0,0.0,0.0,0.0,0.0,0.0,0.0,0.0,0.0,0.0,0.0,0.0,0.0,0.0,33.4973,121.04,146.31,108.258,109.135,121.949,106.09,94.7473,107.616,80.8686,49.0355,19.8853,12.4724,8.14495,0.0,0.0,0.0,0.0,0.0,0.0,0.0,0.0,0.0,0.0,45.3727,137.087,209.956,201.939,183.424,151.642,91.742,54.5449,39.4169,33.7758,36.282,28.595,17.7077,77.2035,96.0392,93.693,97.3848,123.387,147.176,138.563,115.418,102.713,105.083,118.768,169.496,205.771,194.474,173.635,152.883,123.702,100.126,85.3967,70.2819,74.9162,67.0497,26.7432,3.01462,21.4167,23.8821,8.9426,0.0,0.0,0.0,0.0,0.0,0.0,0.0,5.66206,95.6331,193.973,216.405,188.993,146.675,112.224,94.8313,83.2299,54.8432,37.3949,22.274,8.85959,8.02544,20.956,38.7041,44.9637,46.4159,36.0929,26.4308,25.1434,38.1599,78.2089,151.497,220.038,170.349,141.777,117.28,92.4902,74.3649,46.6914,23.5649,13.0192,6.55788,0.0,0.0,0.0,0.0,4.607,30.5839,53.2666,54.9338,34.1935,10.4608,0.0,0.0,0.0,0.0,0.0,0.0,29.8406,57.445,69.2386,61.03,38.8898,13.7896,0.0,0.0,0.0,0.0,0.0,0.0,0.0,0.0,0.0,0.0,0.0,0.0,0.0,8.77474,18.2194,31.0341,53.8729,83.8406,100.397,84.5848,52.3886,40.3322,33.2489,22.1546,14.4968,8.7106,0.0,0.0,0.0,0.0,0.0,0.0,0.0,0.0,0.0,0.0,0.0,0.0,0.0,0.0,0.0,0.0,0.0,0.0,0.0,0.0,0.0,0.0,0.53183,7.79832,9.41404,9.41404,0.0,0.0,0.0,0.0,0.0,0.0,6.31372,6.82162,4.47504,0.0,0.0,0.0,0.0,0.0,0.0,0.0,0.0,0.0,0.0,0.0,0.0,0.0,0.0,0.0,0.0,0.0,9.06684,26.9167,46.2988,53.2299,54.2694,54.747,57.2757,52.6798,41.7105,24.311,6.85678,0.0,0.0,0.0,0.0,0.0,0.0,0.0,0.0,0.0,0.0,0.0,0.0,0.0,0.0,0.0,7.05109,19.4433,14.8804,5.94573,0.0,0.0,0.0,0.0,0.0,0.0,0.0,23.5086,46.5847,59.8817,75.5817,80.2466,77.3475,74.3455,80.8063,83.2892,39.0441,0.0,42.7836,53.7985,3.53792,18.9653,39.4041,49.6815,50.7501,87.6894,51.7221,9.82856,11.0784,27.0271,56.8774,73.6773,66.571,48.0074,15.1491,0.0,0.0,0.0,0.0,0.0,0.0,0.0,0.0,0.0,0.0,0.0,0.0,0.0,0.0,0.0,0.0,0.0,0.0,0.0,8.3746,18.9316,20.0049,17.3402,8.21327,3.63241,18.7868,33.4614,34.6712,34.4543,24.5072,22.3005,39.7991,59.8706,56.9645,43.2523,28.2768,17.7642,10.9452,12.0054,18.0002,22.9651,15.2192,8.22066,14.3446,21.3934,23.7376,21.5899,17.0284,11.6946,9.88867,8.85678,7.42714,0.0,0.0,0.0,0.0,0.0,0.0,0.0,0.0,0.0,0.0,0.0,0.0,0.0,0.409413,3.93625,9.25265,13.8324,12.8056,10.01,8.20573,0.0,0.0,0.0,0.0,0.0,0.0,0.0,0.0,0.0,0.0,0.0,0.0,0.0,0.0,0.872456,19.6525,50.0257,77.1005,82.3871,100.581,104.657,92.4248,87.7607,83.9313,79.7255,74.2066,68.6877,58.8001,54.6694,34.9141,29.173,19.1263,0.0,0.0,0.0,0.0,0.0,0.0,0.0,0.0,0.0,0.0,0.0,28.188,53.9302,71.7401,81.7342,88.5236,95.8808,93.0102,109.862,82.8684,56.7792,37.1721,39.067,15.3195,0.0,0.0,0.0,0.0,0.0,0.0,0.0,0.0,0.0,0.0,0.0,4.23853,17.7841,23.8829,26.0607,30.9875,38.0546,45.371,49.5348,49.9066,48.5679,26.9347,20.0229,7.39173,0.0,0.0,0.0,0.0,0.0,0.0,0.0,0.0,0.0,0.0,4.06272,75.1003,130.816,161.429,196.219,188.093,167.021,121.557,88.0474,56.5444,29.3205,16.5732,9.13597,8.25094,6.39207,0.0,0.0,0.0,0.0,0.0,0.0,0.0,0.0,0.0,0.0,7.86694,36.5458,66.8112,90.2883,115.401,131.126,130.84,128.435,122.701,111.434,69.9464,54.5485,40.8645,10.4744,0.0,0.0,0.0,0.0,0.0,0.0,0.0,0.0,0.0,0.0,0.0,0.0,0.0,0.0,0.0,0.0,0.0,0.0,5.90787,8.46415,0.0,0.0,0.0,0.0,0.0,0.0,0.0,70.997,207.996,283.866,202.487,150.402,131.398,94.3663,85.091,60.5602,43.1562,25.1721,13.5944,5.05964,0.0,0.0,0.0,0.0,0.0,0.0,10.7618,52.5825,109.699,164.908,194.361,211.773,224.824,213.863,177.522,153.099,142.238,127.811,130.766,85.6473,31.9731,0.0,0.0,0.0,0.0,0.0,0.0,0.0,0.0,0.0,23.3763,48.0099,61.2736,72.8542,82.4929,90.4821,90.5974,85.8179,73.4174,54.4032,48.5265,43.6079,76.0261,60.4027,20.7602,9.26258,3.97402,5.28003,5.66847,0.0,0.0,0.0,0.0,0.0,6.9882,9.456,19.0935,36.3187,55.5729,81.8505,97.3055,113.244,115.481,106.26,91.0219,74.9541,77.3211,66.8849,39.1161,22.8668,12.2273,9.44621,8.67678,10.9754,18.289,23.5684,17.9493,55.0009,106.45,157.324,195.897,251.129,297.844,346.521,383.298,391.788,385.314,363.098,297.639,188.272,106.223,70.9128,47.3638,52.2875,61.968,60.4623,57.451,48.5278,37.8827,33.9241,26.4066,32.5174,46.9727,51.8603,52.5798,63.9099,91.2141,137.112,174.025,199.156,210.255,204.156,168.733,101.052,60.8114,38.8045,23.2533,19.2213,17.9955,18.8939,18.352,19.3548,19.182,20.6161,13.964,31.6955,52.6964,86.4707,96.0995,100.54,111.005,118.733,129.183,139.742,149.706,139.829,95.4471,69.8195,58.6977,51.2466,36.7566,30.4016,29.1963,23.4647,18.9768,12.7905,7.66639,0.0,0.0,0.0,0.0,0.0,0.0,0.0,21.5491,51.7894,72.4164,90.768,99.7564,86.8927,61.0577,39.1205,32.6412,23.0493,12.5473,8.26711,1.73202,0.0,0.0,0.0,0.0,0.0,0.0,0.0,0.0,0.0,0.0,0.0,0.0,0.0,0.0,0.0,0.0,0.0,0.0,0.0,0.0,0.0,0.0,0.0,0.0,1.79431,10.0901,19.5318,25.0244,27.7427,16.6406,7.92328,3.23559,0.0,0.0,0.0,0.0,0.0,0.0,0.0,0.0,0.0,0.0,8.29301,21.384,31.4333,33.6532,30.1163,27.4748,21.695,13.8043,8.54059,7.02763,8.54059,3.39446,0.0,10.3549,27.6908,38.4258,40.1471,36.9016,34.8029,34.2032,32.0207,25.7598,19.7706,11.9818,5.27025,14.4997,31.4589,40.738,38.1873,31.0734,21.5195,14.7912,15.514,18.657,20.1645,8.88939,2.99622,20.0598,27.102,35.1438,43.6227,47.2219,50.7327,59.1882,79.3823,90.979,99.3893,99.5582,90.5475,131.79,160.26,153.534,114.139,89.1852,58.0717,36.391,24.0994,18.2371,13.1382,7.11081,13.0109,19.5073,21.4694,25.561,29.0881,28.4939,27.6779,26.9407,28.3715,32.8288,42.402,50.6599,62.6146,100.715,145.362,126.076,110.315,105.547,93.8651,88.0393,80.6341,63.8588,54.5344,33.487,51.4204,51.6494,49.1815,46.1004,41.5026,28.6737,16.3248,8.42022,3.79547,3.5031,7.63426,12.4834,22.4158,53.6135,111.378,160.038,133.733,99.0139,81.1293,66.2302,58.445,54.004,52.0212,31.9169,61.1514,53.0292,30.2503,14.3622,4.35227,0.0,0.0,0.0,0.0,0.0,0.0,0.0,0.0,16.0933,65.8065,126.043,152.376,120.866,97.736,84.8362,65.7925,51.8972,48.4787,21.7542,45.1505,46.448,26.2531,11.0179,0.0,0.0,0.0,0.0,0.0,0.0,0.0,0.0,0.0,0.0,0.0,3.9219,30.6338,51.1013,51.6331,41.2813,22.5951,7.10124,0.0,0.0,0.0,0.0,0.0,0.0,0.0,0.0,0.0,0.0,6.36185,20.5974,41.3291,54.0763,66.94,86.7069,87.6336,76.2055,54.1902,45.1505,40.8989,31.561,19.5987,11.3131,10.0791,0.0,0.0,0.0,0.0,0.0,0.0,0.0,0.0,0.0,0.0,0.0,0.0,0.0,0.0,34.6652,78.3521,85.7865,67.5027,42.7294,20.1262,11.8208,20.4281,22.663,20.2818,14.0802,22.6771,23.4573,4.16002,0.0,0.0,0.0,0.0,0.0,0.0,0.0,0.0,0.0,0.0,25.8241,34.6439,29.2554,30.533,27.349,13.4719,0.0,0.0,0.0,0.0,0.0,0.0,0.0,0.0,0.0,0.0,8.98406,34.8919,59.9214,76.925,83.9566,93.7691,107.669,95.1063,85.1423,57.3128,40.5794,33.4716,25.1072,21.9283,20.9401,21.1782,21.6324,20.4453,7.42541,29.2234,21.1676,0.0,0.0,0.0,0.0,0.0,0.0,0.0,0.0,0.0,6.08811,47.8589,122.447,159.119,161.8,131.692,120.119,113.532,96.9202,90.3021,90.0899,88.0798,53.7552,48.0161,25.9255,0.0,0.0,0.0,0.0,0.0,0.0,0.0,0.0,0.0,0.0,1.67646,48.4425,84.2953,94.1213,104.639,118.438,112.208,93.5476,80.6737,61.8753,54.2937,36.5748,26.9128,17.6246,0.0,0.0,0.0,0.0,0.0,0.0,0.0,0.0,0.0,8.58183,62.7471,122.979,130.08,112.564,93.1548,91.3492,79.5728,57.1987,42.2882,38.0234,39.6766,33.3614,51.7826,48.4722,29.6776,15.1247,7.51915,4.37794,7.14249,9.30655,13.9387,22.9416,36.8656,54.5945,86.2371,140.405,153.794,136.502,128.797,95.9418,83.4377,56.0146,39.0622,27.3455,23.8482,23.0076,47.7516,57.7356,52.0847,35.2454,18.5825,1.58714,0.0,0.0,0.0,0.0,0.0,0.0,0.0,0.0,18.7043,36.2593,44.7398,41.8184,32.0231,19.7309,9.64117,0.0,0.0,0.0,0.0,0.0,0.0,0.0,0.0,0.0,0.0,0.0,0.0,16.4123,49.8867,93.1333,137.21,162.923,145.813,110.665,89.8922,76.8469,62.6307,53.0764,48.4592,40.9355,35.7132,11.9168,19.5781,22.9199,14.3336,11.2934,15.1549,21.1647,30.5858,48.0492,72.9605,98.1135,141.815,171.754,172.27,185.863,148.933,102.731,82.3168,59.3734,50.7706,47.9786,50.9662,52.2648,53.1416,44.8502,93.8694,132.265,113.203,98.3567,93.493,90.595,88.3417,85.8601,88.2482,102.207,152.24,218.589,242.68,191.794,155.286,95.7744,74.6595,58.4363,51.1509,43.0217,36.1663,29.5813,28.1439,28.4803,57.087,55.7917,50.7064,45.0715,37.2813,28.3096,22.5427,21.4568,23.6687,28.6213,34.4345,45.3681,53.0924,90.5124,117.553,100.541,96.1205,97.025,89.2923,64.238,40.7298,28.9946,23.1308,18.2694,53.5649,55.7118,46.7654,33.3937,21.6101,10.7598,6.85071,3.51191,6.0898,10.7204,25.8336,53.3879,96.4988,158.687,134.815,91.5445,69.2726,43.3537,22.0274,8.73712,0.0,0.0,0.0,0.0,0.0,0.0,0.0,0.0,0.0,7.18913,23.1869,51.2814,84.1312,108.751,139.411,157.85,130.331,103.934,91.5071,78.611,54.7391,36.9673,20.5756,9.77708,4.4935,0.091951,0.0,0.0,0.0,0.0,0.0,0.0,0.0,0.0,0.0,3.66866,16.1748,32.1752,53.8336,85.6684,114.237,152.018,120.303,91.8062,82.084,71.8862,61.1222,53.4712,50.7041,50.3668,41.8315,22.9035,9.34421,21.1852,22.5487,26.3035,34.0506,39.4526,43.1396,46.1643,50.9259,57.9949,78.6139,95.3208,128.077,167.384,158.669,109.065,86.353,63.9134,43.2988,23.5801,10.794,4.37664,0.0,0.0,0.0,0.0,0.0,0.0,0.0,0.0,0.0,0.0,0.0,10.7641,28.9261,51.0782,85.0503,117.284,115.648,97.6008,83.3643,62.9834,42.9419,24.9361,14.5163,8.58134,2.40649,0.0,0.0,0.0,0.0,0.0,0.0,0.0,0.0,8.44413,25.2145,38.9287,48.8883,54.7258,91.872,163.906,153.197,121.273,93.1942,70.3948,51.5466,34.1892,24.976,21.2471,14.9416,0.0,0.0,0.0,0.0,0.0,0.0,0.0,0.0,0.0,0.0,0.0,0.0,0.0,20.3075,79.8977,129.48,139.881,115.603,114.182,125.349,121.22,103.447,87.6973,74.5808,31.7542,20.2111,3.55467,0.0,0.0,0.0,0.0,0.0,0.0,0.0,0.0,0.0,0.0,0.0,25.9378,94.3639,175.605,227.61,224.099,170.433,122.635,94.3375,82.7156,67.3045,39.8099,10.8953,3.86358,0.0,0.0,0.0,0.0,0.0,0.0,0.0,0.0,0.0,0.0,0.0,0.0,11.4805,52.3128,108.037,179.435,191.275,167.31,136.603,110.115,94.303,62.8707,39.0368,37.4912,23.1908,5.6058,0.0,0.0,0.0,0.0,0.0,0.0,0.0,0.0,0.0,0.0,28.5386,87.0323,138.231,147.835,138.665,124.523,118.803,115.467,102.118,63.3545,22.2009,3.17723,0.0,0.0,0.0,0.0,0.0,0.0,0.0,0.0,0.0,0.0,0.0,41.4117,93.3152,159.506,199.666,148.216,92.7441,73.1162,54.2978,54.5545,42.1838,22.4219,7.77782,0.0,0.0,0.0,0.0,0.0,0.0,0.0,0.0,0.0,0.0,0.0,12.7377,85.8422,154.523,144.333,101.765,80.7583,49.1615,21.8114,4</t>
  </si>
  <si>
    <t>0.0,0.0,0.0,0.0,0.0,0.0,0.0,0.0,0.0,68.5164,105.262,99.7846,63.2661,55.8409,79.7007,103.137,122.647,130.085,118.535,98.6647,82.4189,87.0606,103.306,118.332,168.841,219.615,266.415,232.273,204.796,237.616,232.129,384.657,664.332,1009.75,1361.66,1588.8,1506.86,1131.51,906.15,759.897,409.748,179.809,76.7952,13.8439,0.0,0.0,0.0,0.0,0.0,16.4748,19.6647,5.6472,1.14416,10.4941,57.7396,76.6712,98.9179,108.985,126.785,139.314,127.813,75.9714,42.2474,63.5008,119.888,171.991,212.304,222.432,220.985,182.893,136.27,89.5614,57.0554,40.9512,58.3723,89.9404,139.784,209.208,154.52,196.997,347.753,406.207,402.964,371.26,239.285,161.346,91.1715,63.3576,61.16,55.3636,49.7234,97.602,179.896,201.965,183.37,155.88,132.989,100.929,82.3132,98.7246,133.507,163.681,97.5013,45.5146,317.317,572.11,644.066,637.455,501.862,309.52,340.807,574.663,637.999,556.472,557.471,638.746,688.221,551.647,414.826,365.633,307.134,249.053,215.589,245.31,253.262,227.936,159.253,83.5628,279.198,457.551,503.041,480.519,393.638,285.265,278.203,326.414,345.351,310.266,234.034,175.317,119.241,50.9018,0.0,0.0,0.0,0.0,0.0,0.0,0.0,0.0,0.0,0.0,0.0,0.0,0.0,0.0,0.0,0.0,0.0,0.0,0.0,2.45507,26.9802,45.7004,57.4666,68.0854,95.0464,138.873,183.637,229.845,300.506,312.947,288.065,267.771,238.315,205.705,236.93,226.031,237.142,223.43,183.485,130.369,178.053,347.879,605.477,833.124,1011.43,1080.71,1025.58,939.381,841.817,733.532,653.121,650.04,611.368,733.245,688.132,353.31,189.068,155.68,271.097,389.12,344.439,291.494,248.114,120.615,26.8532,32.9422,160.654,501.288,1024.66,1359.18,1183.01,1301.53,1208.24,945.841,554.221,536.21,536.21,477.527,513.563,523.859,401.522,543.498,744.846,667.57,515.023,360.361,268.15,141.396,73.9507,160.438,340.364,579.969,759.642,798.612,695.59,643.366,393.667,320.905,339.523,328.3,270.427,282.828,330.367,363.437,349.689,421.939,421.939,336.676,218.011,104.356,52.2121,24.931,113.781,376.403,716.339,835.594,779.105,810.488,650.187,427.333,352.918,446.545,539.369,572.372,510.509,392.722,248.712,117.416,0.0,0.0,0.0,0.0,47.5373,158.544,275.566,470.766,923.708,1342.7,824.548,510.774,452.547,495.158,512.182,489.693,435.191,430.647,415.795,464.922,478.47,528.513,547.905,540.685,951.998,1059.12,949.066,854.851,840.966,866.207,865.642,851.082,736.24,623.624,441.99,368.19,315.682,226.461,162.114,101.728,87.4163,89.7661,86.0554,50.7009,3.61424,0.0,0.0,0.0,0.0,0.0,0.0,0.0,0.0,0.0,71.0802,140.998,255.798,355.137,361.398,348.875,340.527,344.701,346.788,328.005,325.917,321.743,296.698,242.054,187.038,143.475,142.023,151.723,332.185,789.704,1517.07,2083.58,2387.54,2311.17,2173.54,1795.81,1111.15,717.008,526.017,377.18,260.845,220.447,222.154,204.721,170.121,122.16,132.788,166.734,196.227,202.325,180.749,158.88,229.936,792.027,974.414,959.083,914.822,876.94,789.57,626.158,346.279,245.759,227.931,170.261,97.1343,45.8217,2.59115,0.0,0.0,0.0,0.0,0.0,0.0,0.0,0.0,0.0,15.6317,144.226,309.456,342.367,353.052,368.682,381.144,309.28,193.506,193.78,282.942,473.435,638.549,724.161,760.579,828.295,864.165,999.703,1162.04,1064.64,1013.56,720.266,471.308,360.595,376.724,701.638,832.124,1305.33,1971.46,2200.04,2081.75,1445.72,719.001,631.261,784.5,688.672,503.513,457.882,355.692,198.747,120.022,164.331,225.104,195.104,162.788,132.461,295.279,830.698,1100.72,1522.58,1823.72,2164.28,2423.28,2494.5,2459.11,2110.16,1224.99,761.429,549.524,543.179,499.588,424.832,389.301,294.414,260.676,249.796,313.032,323.571,279.697,215.781,155.587,103.37,97.5274,127.506,190.223,219.678,226.141,221.288,210.931,199.832,179.932,278.428,437.163,600.862,680.879,652.022,586.918,497.728,410.133,330.175,264.946,197.761,143.603,174.049,310.15,367.104,403.532,500.464,605.234,958.688,1532.66,1633.47,1476.36,1445.26,1892.05,2256.88,2397.5,2437.05,2522.1,2126.87,2198.18,1687.27,1199.63,1066.83,959.399,831.523,899.475,688.516,341.08,131.112,0.0,44.6444,14.3439,0.0,7.19423,0.0,0.0,0.0,0.0,15.1334,230.062,554.936,608.376,613.071,604.183,709.251,677.591,348.0,356.97,370.18,362.259,383.147,476.433,418.656,410.532,585.19,1360.75,2183.07,2433.07,2195.23,1618.0,1056.74,845.714,877.07,878.988,823.445,719.997,705.059,612.374,519.54,463.082,396.058,405.418,380.957,244.908,200.642,195.049,156.979,142.643,96.3358,39.5141,0.0,0.0,0.0,0.0,11.5237,37.799,27.7404,0.0,0.0,0.0,0.0,0.0,0.0,0.0,0.0,0.0,0.0,0.0,47.4933,124.141,171.069,231.391,255.097,255.685,194.354,135.693,119.425,104.98,92.1293,68.0623,47.378,88.7087,201.909,254.521,211.726,236.894,287.542,332.289,357.539,376.476,426.591,575.074,681.881,680.309,584.384,476.549,382.557,462.543,460.75,382.63,320.235,333.061,392.552,356.213,305.076,306.981,378.198,390.154,281.17,156.517,82.9346,83.1077,92.8229,85.9592,81.431,88.6404,65.003,40.1836,124.109,96.8958,32.8406,104.416,192.934,255.248,252.514,229.21,194.918,132.17,118.651,102.677,57.2751,0.0,0.0,0.0,0.0,0.0,0.0,0.0,0.0,0.0,0.0,0.0,0.0,0.0,7.64331,69.9236,99.8071,129.797,149.907,164.408,194.144,216.356,254.032,310.743,323.009,275.671,217.622,169.145,116.261,102.435,91.9309,58.859,25.512,1.75269,0.0,0.0,0.0,0.0,0.0,0.0,0.0,0.0,0.0,0.0,0.0,0.0,1.23149,49.8431,45.5795,8.29682,0.0,0.0,0.0,0.0,2.30332,20.085,40.1064,84.8602,109.01,94.6361,60.3422,3.90422,0.0,65.3173,132.187,175.897,208.518,215.725,133.562,108.641,263.049,481.02,616.867,582.466,507.48,379.602,350.873,396.854,420.403,384.018,199.584,127.208,74.2965,16.1035,0.0,0.0,0.0,31.8984,67.5813,75.5643,63.9911,51.2606,31.9687,8.78174,0.0,0.0,0.0,0.0,0.0,0.0,0.0,25.0935,103.919,183.979,240.673,284.711,260.807,205.432,183.123,181.768,180.211,320.501,411.144,603.348,770.498,852.125,740.247,802.281,961.814,1128.72,1071.38,856.819,578.422,484.555,463.4,517.792,625.942,721.897,812.045,922.446,1173.87,1288.25,1220.5,1112.23,1085.78,1177.16,1513.27,1813.05,1759.18,1764.02,1869.27,2014.65,2317.21,2448.93,2451.19,2432.36,2405.82,2305.8,2051.28,2079.01,1978.41,1889.65,1730.32,1609.06,1444.15,1207.6,913.469,640.216,561.714,344.42,320.827,445.053,449.639,336.137,342.26,420.722,472.139,439.149,402.114,354.864,272.051,201.473,233.194,463.589,715.612,863.51,919.26,1157.92,1058.41,874.778,682.123,973.31,1345.63,1200.54,944.07,861.215,908.435,989.151,1035.91,801.586,436.21,189.034,60.4926,0.0,0.0,0.0,0.0,0.0,0.0,0.0,0.0,0.0,0.0,0.0,0.0,0.0,8.53571,29.9317,40.9515,33.4992,33.2344,52.9364,57.9323,18.3508,14.4395,44.0184,84.034,131.375,163.661,168.247,134.761,74.3898,6.66526,0.0,0.0,0.0,0.0,0.0,0.0,0.0,0.0,63.7891,152.166,206.322,229.123,207.535,133.499,61.1598,59.6178,72.6655,105.509,168.103,224.968,292.742,315.705,303.682,299.505,305.77,320.391,306.56,269.644,231.267,187.751,72.2251,240.203,782.656,1002.87,1204.79,1347.37,1376.34,1223.02,1523.98,1810.86,1764.36,1766.85,1539.41,1859.79,1727.65,1131.75,1244.46,1181.5,1140.71,1000.53,1495.3,2030.57,1735.82,1557.64,1414.92,1525.58,1818.95,2296.27,2546.89,2680.23,2796.45,2860.81,2934.09,2990.69,2988.63,2488.55,1197.97,697.588,210.159,0.0,20.1257,231.058,435.073,690.263,1150.25,1698.58,1744.87,2163.74,2600.18,2927.5,2910.26,2838.55,2738.45,2604.84,2509.11,2165.77,1657.39,1576.04,1579.34,1581.6,1527.8,1423.18,1494.18,1543.16,1616.62,1406.03,818.895,606.119,355.648,243.405,258.374,348.156,1129.6,1108.0,939.301,857.522,783.022,761.013,773.59,698.773,455.796,293.816,223.428,181.514,142.388,113.252,82.6736,31.1347,0.0,0.0,0.0,0.0,0.0,0.0,0.0,0.0,0.0,0.0,7.5772,24.3063,21.3565,23.2996,27.9264,51.3651,91.3661,132.851,155.3,158.783,150.496,133.363,110.309,75.6144,43.9907,25.2508,15.8809,13.5384,13.5384,14.8134,19.6082,0.0,0.0,0.0,0.0,0.0,0.0,0.0,0.0,0.0,0.0,0.0,0.0,48.951,98.2737,160.645,220.156,264.576,300.324,354.886,413.31,495.72,602.375,734.072,851.363,907.691,1404.48,1541.64,1288.18,930.93,659.204,534.652,490.954,431.536,398.258,467.684,572.401,622.393,622.393,581.437,469.772,323.879,194.971,101.737,50.4455,30.6281,0.0,0.0,0.0,0.0,0.0,0.0,0.0,0.0,13.9172,45.0273,38.114,10.946,0.0,0.0,0.0,0.0,0.0,0.0,0.0,0.0,0.0,0.0,0.0,0.0,0.0,0.0,0.0,0.0,0.0,0.0,0.0,0.0,0.0,0.0,0.0,0.0,0.0,0.0,0.0,0.0,0.0,0.0,47.1221,89.3085,103.518,103.804,88.9441,50.5307,0.0,0.0,0.0,0.0,0.0,0.0,0.0,0.0,0.0,0.0,0.0,0.0,71.8109,177.024,229.785,285.121,343.998,378.227,345.704,236.155,141.596,71.463,32.8751,9.3895,0.0,0.0,0.0,0.0,0.0,23.7437,55.0657,98.0972,111.184,99.5388,73.088,43.6313,61.3222,134.28,224.736,300.511,315.056,265.189,205.013,145.699,122.304,139.657,149.779,148.534,165.892,210.735,246.202,209.318,195.02,735.851,1302.63,1335.69,1295.52,1078.14,629.436,211.74,149.787,367.314,500.843,471.367,395.352,379.584,409.227,287.437,212.973,316.936,383.546,423.096,454.07,431.663,414.584,327.938,214.865,46.4419,0.0,0.0,0.0,0.0,0.0,0.0,0.0,0.0,0.0,0.0,46.4431,109.254,170.642,191.221,178.333,150.742,117.503,90.7224,68.5387,45.1875,24.1714,0.0,0.0,50.5981,123.417,153.763,185.703,222.56,217.224,148.405,146.966,202.763,359.848,358.331,235.499,188.079,120.199,47.5415,0.0,0.0,0.0,0.0,0.0,0.0,2.37056,0.0,0.0,23.4303,116.686,228.476,339.636,369.201,354.453,309.905,201.77,158.237,168.91,261.732,454.0,658.594,740.415,647.381,464.054,259.642,127.157,62.5444,78.7346,148.338,258.579,345.022,321.966,621.603,595.987,381.779,276.464,221.548,178.268,116.874,6.28659,0.0,55.6433,176.008,472.591,862.442,1195.51,1010.28,597.386,313.743,204.362,228.873,258.111,221.963,170.033,92.5334,29.6834,43.959,161.744,319.779,329.968,282.398,230.648,181.436,56.5248,0.0,0.0,0.0,0.0,0.0,0.0,0.0,0.0,0.0,35.9422,81.2632,160.406,321.087,547.685,678.671,720.283,873.887,925.596,933.126,804.613,483.142,209.203,205.358,365.332,695.816,1048.6,1513.53,1461.66,1288.61,1280.48,978.666,690.121,566.962,337.062,131.645,37.7022,35.3929,102.752,96.0105,143.925,222.433,351.385,520.474,688.186,764.259,736.999,631.924,488.708,568.599,591.266,465.84,307.267,206.575,177.939,177.939,180.835,180.835,182.282,169.436,141.922,98.7851,37.0935,0.0,0.0,0.0,0.0,0.0,0.0,0.0,0.0,0.0,0.0,0.0,0.0,0.0,0.0,0.0,0.0,29.6048,48.497,41.5175,54.4361,64.9088,25.3455,0.0,15.8778,53.5084,47.9094,142.325,189.765,226.166,254.972,266.886,244.327,209.942,139.809,164.141,254.688,366.939,438.009,495.74,540.351,592.542,646.744,598.465,572.642,530.619,497.065,553.849,561.592,611.699,736.403,733.515,595.294,371.425,187.126,122.412,152.683,113.089,24.5991,0.0,0.0,8.53954,142.134,258.108,260.911,201.338,133.905,83.0927,41.5116,5.7935,0.0,0.0,0.0,0.0,71.3519,132.316,221.59,291.282,314.771,252.4,173.435,98.2994,18.0857,0.0,0.0,0.0,0.0,0.0,0.0,0.0,0.0,0.0,0.0,0.0,0.0,0.0,0.0,0.0,0.0,0.0,0.0,0.0,0.0,0.0,0.0,0.0,0.0,0.0,91.5497,243.837,323.042,269.716,494.053,1442.54,1471.2,1211.69,1401.2,1883.88,2412.36,2707.71,1628.87,963.362,1557.85,2008.74,1995.78,2031.52,2057.33,2163.66,2339.54,2326.08,1814.37,1405.37,1139.29,873.118,746.362,738.64,685.649,592.999,489.164,374.399,286.533,214.936,165.428,119.01,102.402,149.81,92.1346,47.1079,62.8705,79.8577,92.3343,88.8576,100.447,99.6325,23.4676,0.0,0.0,0.0,0.0,0.0,63.1254,84.3207,73.7968,49.3649,11.9342,0.0,0.0,0.0,0.0,0.0,0.0,0.0,33.7518,71.3772,118.396,169.73,163.991,84.9521,0.0,0.0,0.0,0.392304,73.8263,107.919,119.489,126.72,139.736,145.521,145.771,154.452,217.019,237.286,244.682,168.935,143.045,171.27,145.589,63.6474,0.0,0.0,0.0,0.0,0.0,0.0,0.0,0.0,15.4727,37.8047,34.5733,41.7454,73.3535,89.7527,96.7215,136.681,191.621,210.417,209.379,124.315,137.501,326.427,535.161,676.229,800.98,924.569,876.124,670.327,505.442,384.698,358.91,310.48,328.367,342.089,378.456,388.412,412.756,362.066,250.408,159.642,92.0432,0.0,0.0,0.0,0.0,0.0,0.0,70.8867,163.467,70.4394,0.0,0.0,0.0,0.0,41.7204,164.405,155.987,87.3765,48.0044,19.0543,0.0,19.1912,80.7312,145.522,213.907,234.849,237.74,217.167,159.485,47.6894,2.23671,7.63458,44.2984,101.794,181.322,270.815,385.792,529.775,725.035,718.992,613.115,549.881,516.131,432.576,387.327,343.629,328.702,339.103,282.939,227.237,295.42,409.425,420.98,359.619,263.223,204.394,180.777,187.51,237.925,337.743,378.443,293.113,295.82,452.394,623.265,751.462,1041.21,1008.47,832.114,876.361,1409.77,1751.69,1705.24,1721.98,1908.43,2266.19,2337.53,2207.09,2053.32,1846.83,1708.93,1728.41,1660.06,1566.64,1563.05,1369.65,1145.53,963.377,749.393,463.749,300.09,217.244,164.95,150.364,150.557,124.294,103.234,114.241,131.579,136.429,85.4885,40.6714,16.937,13.216,28.3739,49.3616,61.1621,62.6623,39.6676,22.4388,28.3987,37.7588,52.9689,67.009,77.5391,54.1389,24.8887,10.9604,5.22572,0.0,0.0,0.0,0.0,0.0,0.0,0.0,0.0,0.0,9.40766,54.5367,97.6025,137.552,168.547,182.742,228.756,269.927,239.589,198.907,179.238,157.907,134.92,111.771,97.8201,89.5759,92.1723,97.0665,103.727,125.852,157.57,127.301,113.257,116.825,153.849,225.802,351.313,492.198,590.644,554.449,486.762,419.283,350.815,254.777,189.813,135.999,124.326,139.19,181.812,211.646,219.605,198.149,134.7,231.01,259.568,194.954,134.171,95.2222,110.626,160.754,208.423,241.737,261.766,319.552,386.425,356.019,243.578,131.047,37.1983,0.0,0.0,0.0,0.0,0.0,0.0,0.0,0.0,0.0,0.0,0.0,25.6733,65.6577,111.306,172.706,218.738,236.32,185.777,188.451,199.42,203.518,214.923,220.721,200.428,129.404,52.5719,0.0,0.0,0.0,0.0,0.0,0.0,0.0,0.0,55.4895,82.8757,89.3396,138.139,227.32,315.73,314.472,220.186,292.567,593.605,852.272,803.644,611.383,508.38,409.274,342.839,357.481,368.3,418.517,443.213,363.083,492.978,669.765,612.059,529.674,499.85,488.401,565.15,789.294,1152.3,1482.24,1562.54,1411.95,1368.51,1261.58,1082.04,858.816,706.449,668.156,660.279,621.787,512.648,374.157,277.907,197.3,96.4032,222.558,565.563,1086.36,1262.81,1296.28,1268.81,1624.92,2201.59,2482.45,2320.84,1648.4,1074.78,848.71,665.968,606.661,584.015,423.273,396.318,411.385,400.872,357.046,304.465,264.505,205.853,440.894,1122.83,1305.8,1275.22,1239.64,1259.69,1409.99,1625.81,1779.01,1728.83,1297.34,981.343,788.913,657.623,545.996,420.255,328.048,301.853,311.293,347.698,367.086,325.34,298.002,312.961,470.011,427.155,293.098,211.097,165.232,152.883,186.934,265.955,392.778,482.116,536.968,598.013,583.835,515.08,463.624,366.593,333.532,327.263,229.958,164.358,139.462,142.152,129.08,173.709,271.902,299.851,313.363,332.978,360.131,395.976,441.74,516.534,613.391,651.6,537.374,439.386,341.514,256.033,209.863,177.938,134.402,85.6663,69.3361,42.5078,18.0124,0.0,0.0,0.0,16.9571,67.343,64.386,16.3288,0.0,0.0,0.0,0.0,0.0,0.0,0.0,0.0,0.0,0.0,0.0,0.0,0.848974,34.7915,47.5964,37.1197,12.5476,12.5476,39.1224,49.1347,100.9,106.248,64.0151,18.543,0.0,0.0,6.26819,109.934,196.833,215.372,196.698,183.137,164.638,141.756,105.858,65.2606,29.1551,22.3137,37.4613,45.7256,34.24,8.79617,0.0,0.0,0.0,100.46,194.873,223.495,318.471,428.754,537.72,611.361,643.095,573.631,637.93,817.51,908.696,682.559,289.477,7.4179,0.0,0.0,122.692,225.173,186.03,106.297,69.2875,98.0101,221.375,254.959,256.216,261.775,283.518,301.1,325.075,360.243,346.207,258.228,227.08,236.133,209.119,178.987,142.915,92.4126,35.2335,0.0,0.0,0.0,0.0,0.0,0.0,0.0,149.898,236.457,345.12,455.537,555.343,631.996,709.682,782.955,807.923,598.039,504.55,507.524,475.434,325.001,201.452,123.473,74.6123,59.7783,76.354,70.6402,9.96349,0.0,0.0,0.0,0.0,0.0,152.213,195.37,181.429,144.894,117.248,111.301,105.676,95.9512,141.79,195.342,199.032,179.468,180.088,214.013,223.348,210.789,205.422,189.84,162.32,181.15,239.641,289.243,148.753,125.118,382.798,408.731,299.599,233.172,228.894,194.668,167.806,175.868,174.551,151.144,138.651,134.682,221.488,389.192,466.46,397.295,248.094,113.717,41.3539,18.1747,10.0619,0.0,0.0,0.0,0.0,117.181,212.221,232.536,247.788,230.554,181.038,95.9712,25.2461,50.341,152.25,349.21,537.413,644.508,661.467,732.182,818.864,754.501,681.979,516.827,404.528,267.602,133.998,137.784,498.893,1100.43,1307.75,1307.03,1288.29,1264.28,1037.59,701.251,797.647,850.412,839.225,852.543,643.966,439.944,320.276,248.842,314.919,499.034,626.696,484.169,359.449,334.151,167.912,70.6982,222.435,511.155,774.259,1146.32,1727.45,2198.61,2117.14,2114.39,2510.36,2325.27,2050.3,1273.83,929.521,885.754,554.343,381.068,446.622,926.738,1310.71,935.025,1196.68,822.299,389.289,1015.52,2511.96,2949.58,2984.2,2965.56,2926.03,2766.55,2201.02,1347.34,1201.91,1215.86,1190.87,1230.12,1398.86,1413.64,1275.74,1134.0,910.373,657.193,542.118,504.186,705.518,900.117,1118.64,2949.1,2993.93,3004.01,3004.01,3004.01,3004.01,3004.01,3004.01,3004.01,2948.02,2748.87,2253.83,1596.54,1066.76,860.822,713.39,572.253,503.981,443.198,384.893,269.139,154.068,49.3026,91.841,378.785,366.916,371.348,460.229,580.753,637.671,633.839,592.595,430.318,163.044,184.795,295.154,406.805,409.427,467.197,562.815,663.769,699.25,644.662,516.804,388.148,197.651,0.0,0.0,0.0,0.0,9.58712,85.4132,189.992,222.721,159.47,314.689,585.358,541.261,270.409,59.56,0.0,0.0,0.0,0.0,0.0,0.0,0.0,75.1569,199.176,311.41,261.142,99.2686,0.0,0.0,0.0,0.0,0.0,0.0,0.0,0.0,0.0,0.0,0.0,0.0,0.0,48.2502,185.453,312.587,394.401,418.08,429.236,383.399,250.185,176.053,107.117,49.9985,68.2371,178.568,355.33,622.047,1118.34,1524.42,2354.54,1665.35,342.642,645.172,1078.24,1521.01,1773.17,2363.01,2349.04,2028.29,1627.21,1699.37,1454.01,1135.71,713.315,591.75,342.428,414.774,337.645,325.424,389.031,412.52,502.148,711.164,901.066,956.303,849.144,628.309,541.863,371.878,198.918,102.688,62.6068,13.1222,0.0,0.0,0.0,0.0,0.0,0.0,15.6197,47.7322,213.694,310.61,393.592,471.153,534.652,543.292,487.055,365.88,163.89,100.664,309.52,509.585,505.501,345.45,146.859,16.1622,0.0,39.4557,84.4602,123.759,124.11,85.2629,60.7404,42.9985,50.1087,87.6637,189.04,399.076,554.503,573.309,534.653,489.302,390.995,317.842,551.021,795.436,1005.39,1076.86,970.904,871.901,689.778,451.011,316.05,261.367,328.005,395.923,250.969,360.301,390.161,420.777,698.565,1208.05,1420.84,1280.13,1341.2,1624.21,2301.13,2715.17,2574.38,2293.46,2390.87,2356.98,2194.2,2117.24,2129.08,2162.25,2060.08,1753.13,1463.48,1180.89,1166.7,1588.67,1654.82,1710.9,1710.08,1697.43,1678.09,1523.36,1300.64,1067.97,855.244,586.349,378.804,310.547,215.558,127.806,75.9029,80.4263,133.602,190.644,167.905,124.617,89.6412,70.9563,99.8268,209.342,208.26,213.129,212.194,187.02,166.342,154.448,145.596,151.323,146.018,135.577,153.966,182.427,184.611,128.541,53.3043,0.0,0.0,0.0,0.0,0.0,0.0,0.0,0.0,37.7205,19.0967,0.0,0.0,0.0,0.0,38.6337,77.3532,116.117,163.65,159.423,189.54,306.85,368.803,287.51,160.439,68.6452,0.0,0.0,0.0,0.0,0.0,0.0,0.0,0.0,0.0,0.0,0.0,0.0,0.0,0.0,0.0,0.0,0.0,0.0,0.0,21.8338,128.369,191.094,165.898,94.3697,59.8857,34.6062,4.55438,0.0,42.0313,78.1018,47.8502,7.5663,142.429,174.751,167.867,137.231,99.8993,79.1809,71.2388,45.3028,0.0,0.0,0.0,0.0,0.0,43.7882,94.7461,142.788,200.739,255.471,275.063,292.58,272.671,247.916,220.941,164.899,306.535,844.494,805.875,590.904,862.288,1129.15,788.637,358.3,440.988,639.194,953.445,1977.13,1996.88,1933.84,1772.74,2568.16,484.601,596.828,1380.64,1843.52,2263.13,2233.86,1613.27,927.588,845.938,1541.07,1838.65,1789.83,1659.06,1661.96,1536.18,1208.13,816.302,524.599,418.413,283.778,159.997,84.8961,71.5508,93.6158,99.6897,98.8989,88.8093,60.355,34.1446,37.6996,48.9337,134.13,236.829,309.804,404.25,502.633,528.993,482.058,413.123,365.401,303.203,231.301,173.819,186.065,225.416,256.258,319.576,329.112,284.907,242.874,194.654,138.387,95.1008,67.2565,81.9566,106.523,172.167,249.865,362.251,453.324,464.166,406.888,347.311,273.88,183.854,25.2463,0.0,0.0,49.983,173.032,252.572,333.908,335.074,288.445,221.715,199.25,223.031,258.0,167.535,530.441,891.97,1067.68,1087.57,1047.09,942.201,807.518,652.011,654.552,523.49,323.125,181.483,100.542,42.1516,0.0,0.0,0.0,0.0,0.0,0.0,0.0,5.81877,0.0,0.0,0.0,0.0,0.0,0.0,0.0,0.0,0.0,0.0,0.0,0.0,0.0,0.0,0.0,0.0,24.5544,163.885,321.464,373.414,281.382,277.762,351.79,440.85,457.185,284.26,160.069,491.826,715.171,756.68,685.551,539.226,399.866,297.205,193.953,73.6089,0.0,0.0,0.0,0.0,0.0,0.0,0.0,0.0,0.0,0.0,0.0,3.492,43.8382,18.834,0.0,0.0,0.0,9.34259,82.2425,111.061,116.475,98.6528,52.7057,0.0,0.0,0.0,0.0,86.1922,215.672,405.542,638.896,803.498,811.802,686.11,598.93,546.302,537.701,344.042,171.548,141.713,249.324,349.613,493.915,645.212,725.598,695.093,587.621,414.808,196.727,148.238,126.515,99.1699,74.6516,57.1895,47.6444,77.9592,162.793,231.687,273.159,278.232,228.55,67.5496,0.0,0.0,0.0,0.0,0.0,39.0551,99.8655,136.201,128.08,97.1441,113.189,191.876,320.103,526.643,833.352,1049.48,1104.72,1120.05,1069.76,973.064,935.327,1040.56,917.46,604.092,383.133,294.124,129.268,0.0,0.0,0.0,0.0,0.0,0.0,17.0999,111.774,334.214,803.275,1259.29,1552.55,1376.15,1026.26,688.542,539.505,448.412,449.057,346.998,285.109,206.62,188.034,98.9226,16.156,0.0,0.0,0.0,0.0,0.0,0.0,0.0,0.0,0.0,0.0,69.6729,244.061,549.64,731.764,771.044,729.297,644.626,505.038,364.882,247.004,96.3124,11.4673,0.0,0.0,0.0,0.0,0.0,0.0,0.0,0.0,0.0,158.365,479.74,815.974,849.186,618.711,347.4,234.018,335.229,407.352,463.638,425.758,307.142,197.814,110.983,99.3906,258.499,328.962,29.5808,0.0,0.0,0.0,33.6835,49.8345,121.512,310.055,622.216,911.715,952.09,813.912,591.379,433.707,422.618,316.405,225.693,231.686,220.667,212.087,337.633,350.26,192.179,69.1864,0.0,0.0,0.0,2.43139,87.6323,200.882,361.049,496.959,536.245,575.401,560.122,375.719,202.985,136.164,140.798,152.592,200.228,398.32,538.618,462.513,353.821,275.0,227.645,224.362,184.652,101.359,27.0709,0.0,0.0,0.0,0.0,0.0,41.1347,115.598,124.61,125.065,115.4,77.0843,7.24219,0.0,0.0,0.0,0.0,0.0,0.0,0.0,0.0,0.0,0.0,0.0,61.769,125.365,170.458,184.55,172.436,62.3875,0.0,0.0,0.0,0.0,0.0,0.0,29.8061,68.8966,100.058,154.531,179.236,195.311,209.587,209.192,178.379,147.515,153.859,183.1,248.907,287.642,183.1,71.7613,41.9627,67.3839,163.535,576.474,1053.84,931.152,646.557,460.535,401.238,418.476,355.382,360.257,309.119,316.707,409.741,530.363,518.806,497.784,538.693,621.345,767.264,906.88,1019.54,1102.61,1150.92,1062.49,786.549,558.311,336.407,221.103,191.446,164.499,184.987,278.096,381.594,413.104,371.687,342.796,605.695,1160.85,1554.99,1757.77,1890.26,1945.13,1904.47,1902.39,2020.89,2091.03,2025.77,1819.08,1306.45,956.683,671.034,338.419,201.995,193.741,199.765,198.585,204.58,210.349,213.58,229.582,297.186,419.784,387.83,323.968,277.363,266.182,284.155,302.514,273.955,241.639,211.121,213.305,306.018,526.261,583.615,431.837,283.371,175.003,114.757,77.2833,37.8785,12.5894,47.6198,77.3232,69.1343,0.0,0.0,0.0,0.0,0.0,0.0,0.0,0.0,0.0,0.0,8.63829,161.799,439.623,629.102,557.018,425.588,337.981,272.737,228.094,206.962,201.569,204.839,193.757,61.9937,0.0,0.0,0.0,0.0,0.0,0.0,0.0,0.0,0.0,45.0401,164.026,451.464,834.613,1055.03,900.522,750.269,698.997,662.999,617.944,567.786,543.201,541.75,443.918,389.953,320.726,148.191,23.4136,0.0,0.0,0.0,0.0,0.0,0.0,0.0,0.0,0.0,0.0,0.0,14.5028,37.8548,78.5372,131.108,157.47,152.25,135.507,118.697,71.7318,0.0,0.0,0.0,33.2441,82.6949,106.034,115.493,119.502,122.319,146.526,234.831,492.676,775.745,845.959,648.594,477.222,341.306,217.419,149.023,112.049,109.575,102.243,93.226,77.5062,0.0,0.0,0.0,0.0,0.0,0.0,0.0,0.0,0.0,0.0,29.4996,74.4101,159.957,317.558,474.677,561.391,558.02,572.2,611.791,623.241,588.315,501.969,409.543,285.4,81.3669,29.049,0.0,0.0,0.0,0.0,0.0,0.0,0.0,21.0586,46.2592,53.6944,32.4809,3.42408,0.0,0.0,17.0322,76.0531,163.84,234.652,231.041,155.501,64.0886,0.397355,0.0,0.0,197.358,365.757,441.612,457.466,414.356,333.323,215.863,117.796,26.6213,0.0,0.0,124.222,288.342,420.362,501.491,578.979,624.89,653.691,770.96,890.696,616.522,341.81,158.535,65.2986,122.361,215.717,240.761,223.616,217.97,229.484,269.42,262.697,162.082,23.5788,0.0,84.5499,134.106,80.8342,31.8211,0.0,0.0,0.0,0.0,0.0,0.0,0.0,0.0,0.0,0.0,0.0,0.0,0.0,2.61138,20.7978,31.1911,24.4905,3.08021,0.0,0.0,0.0,0.0,0.0,0.0,0.0,0.0,0.0,0.0,0.0584717,40.4691,32.0507,0.0,0.0,0.0,0.0,0.0,0.0,0.0,0.0,0.0,0.0,0.0,0.0,0.0,0.0,4.00527,0.0,0.0,0.0,5.23863,43.3419,68.8768,84.0757,87.7599,91.6167,48.0298,245.231,555.13,795.068,994.721,1041.65,994.107,945.761,912.109,854.829,768.834,671.927,721.363,874.454,809.804,651.298,663.96,759.505,725.189,787.928,797.098,698.982,619.393,731.96,847.056,652.241,393.36,306.625,334.773,333.227,334.375,407.346,517.397,615.908,690.12,828.854,880.928,689.482,541.74,451.097,375.094,336.717,285.654,234.062,201.293,181.432,165.815,112.371,58.8706,0.0,0.0,0.0,0.0,0.0,0.0,0.0,0.0,0.0,0.0,0.0,0.0,0.0,0.0,0.0,0.0,9.05141,54.4635,93.012,120.476,139.563,151.392,140.016,37.3687,0.0,9.27981,36.8192,41.6616,48.8518,38.1115,0.0,0.0,0.0,0.0,0.0,0.0,0.0,0.0,0.0,0.0,0.0,0.0,0.0,0.0,0.0,0.0,0.0,0.0,0.0,0.0,0.0,0.0,0.0,9.26401,54.0765,109.92,178.735,236.77,296.355,534.872,1278.96,1451.89,947.122,604.257,392.508,226.329,182.198,181.15,189.044,205.404,165.753,202.809,302.711,390.821,428.852,519.262,653.389,862.848,1123.24,1274.47,1382.22,1365.12,1292.63,1015.73,692.841,344.733,175.028,94.2132,55.3967,48.7395,54.7534,44.6488,14.902,0.0,0.0,106.152,340.23,483.493,528.634,512.908,494.993,505.73,512.126,517.166,535.545,559.985,552.532,510.382,572.971,522.163,382.06,217.514,117.747,58.0873,12.092,0.0,0.0,0.0,0.0,0.0,0.0,34.0711,103.881,177.391,215.84,229.193,235.629,244.096,250.156,264.614,282.379,307.197,381.126,368.946,253.711,153.909,72.4012,5.81626,0.0,0.0,0.0,0.0,0.0,0.0,36.384,231.799,287.019,335.257,422.071,574.649,734.391,868.787,899.037,804.242,596.129,373.521,267.435,186.894,144.871,141.15,144.593,146.614,148.574,178.973,184.961,192.52,148.334,150.787,304.804,241.426,168.527,111.271,80.2959,69.8126,68.4926,78.6319,92.34,101.828,135.313,209.074,327.821,394.573,371.465,282.725,204.254,154.711,100.734,57.3909,8.31947,0.0,0.0,0.0,0.0,0.0,3.82182,44.8919,78.1155,102.447,127.835,151.593,178.147,210.988,275.261,340.036,404.987,357.965,231.711,133.087,75.633,43.8882,13.1897,0.0,0.0,0.0,0.0,0.0,0.0,0.0,0.0,0.0,0.0,0.0,10.7954,14.1611,7.32272,34.3762,75.2748,137.158,397.402,652.635,637.475,477.266,118.229,0.0,0.0,0.0,72.3188,149.56,174.092,68.9356,170.726,482.621,542.024,581.901,619.615,665.796,728.458,780.085,759.962,659.577,518.45,419.059,319.264,214.982,166.288,118.917,44.0615,0.0,0.0,0.0,0.0,11.6766,60.0796,0.0,0.0,0.0,0.0,0.0,0.0,42.6018,65.9735,61.4965,33.738,1.57279,41.4351,347.043,933.208,1076.41,866.483,871.613,937.912,853.056,777.55,862.51,640.263,437.954,241.796,203.278,165.861,78.0201,24.0557,0.0,0.0,0.0,0.0,0.0,0.0,0.0,115.392,417.215,1023.3,1483.0,1428.01,1311.51,1107.09,746.654,502.624,386.87,348.917,365.779,313.947,227.821,620.617,790.787,766.711,799.122,945.35,1081.39,1031.8,904.121,832.13,846.812,921.454,1231.64,1454.29,1376.8,1262.05,1114.24,946.982,816.108,681.548,585.466,609.001,569.048,301.421,138.134,257.102,281.745,174.376,53.4964,0.0,0.0,0.0,0.0,0.0,0.0,150.791,786.657,1373.37,1527.23,1342.6,1078.51,887.594,778.413,660.09,506.359,373.266,265.672,173.49,164.586,252.498,382.075,415.137,422.518,364.507,299.308,290.6,378.413,625.723,1106.26,1552.15,1238.48,1050.32,913.753,754.346,606.201,423.919,278.575,205.841,155.073,97.5057,85.0833,0.248152,0.0,145.747,327.401,486.619,507.477,351.727,190.582,80.4012,0.0,0.0,0.0,0.0,111.098,322.373,520.238,580.167,538.457,383.324,209.453,79.0313,0.0,0.0,0.0,0.0,0.0,0.0,0.0,0.0,0.0,0.0,7.85795,95.4821,172.584,230.22,330.447,494.21,665.62,817.786,673.238,475.625,391.595,345.372,264.478,212.768,171.899,109.618,65.5354,16.9178,9.71177,8.17855,0.0,0.0,0.0,0.0,0.0,0.0,0.0,0.0,0.0,0.0,0.0,0.0,0.0,0.0,0.0,11.9867,73.9456,126.265,162.161,179.408,179.408,98.4094,41.8729,0.0,0.0,27.9211,116.536,153.906,156.334,145.116,112.623,63.002,0.0755505,0.0,0.0,0.0,0.0,0.0,0.0,16.3613,39.5574,37.6375,0.0,0.0,0.0,0.0,57.5598,175.702,302.595,421.923,486.158,499.175,505.154,519.378,479.271,398.601,284.969,156.502,68.8068,102.517,116.301,88.4928,66.043,44.7597,16.5487,0.0,0.0,0.0,0.0,0.0,0.0,0.0,78.9173,157.431,237.511,214.566,152.147,96.8738,14.7568,0.0,0.0,0.0,0.0,104.147,278.012,423.376,532.622,612.381,636.072,621.349,606.102,639.74,660.589,384.362,67.5785,404.055,493.278,140.636,234.186,386.784,442.047,455.108,705.018,467.279,183.833,196.743,303.342,517.354,602.709,566.616,431.439,215.826,75.2882,0.28236,2.93878,11.1996,0.0,0.0,0.0,0.0,0.0,55.1917,87.8483,66.3728,24.5523,0.0,0.0,0.0,0.0,0.0,58.5694,168.313,233.951,242.991,226.098,166.591,141.088,232.944,346.802,354.941,353.482,286.296,265.937,388.886,532.565,517.797,406.438,311.795,228.086,195.752,201.089,229.192,272.579,216.155,166.67,212.055,256.869,280.3,258.833,224.636,199.631,184.474,173.46,159.229,122.228,55.5648,32.045,6.12334,0.0,0.0256415,47.1305,49.0807,26.1531,9.00293,27.0403,60.8603,99.7277,125.68,142.54,177.685,209.653,204.84,185.77,166.51,120.007,71.7885,38.8457,28.7569,40.3623,30.3267,0.0,37.2081,16.1471,0.0,0.0,0.0,0.0,44.7506,127.893,239.469,446.039,620.094,653.014,818.921,844.176,753.673,705.747,666.548,633.425,605.397,577.369,527.125,504.182,356.576,317.857,235.306,116.559,2.61546,0.0,0.0,0.0,0.0,0.0,0.0,0.0,0.0,113.214,311.194,494.927,592.871,647.531,713.566,789.203,759.692,875.375,657.055,516.855,371.767,384.516,216.625,51.6434,0.0,0.0,0.0,0.0,0.0,0.0,0.0,0.0,0.0,40.0063,143.985,228.179,281.752,296.805,330.131,377.705,417.207,441.118,444.547,434.991,302.717,243.171,159.06,29.4499,0.0,0.0,0.0,0.0,0.0,0.0,0.0,0.0,0.0,143.145,609.936,987.153,1166.93,1388.77,1337.18,1211.78,935.883,708.682,515.662,318.855,222.502,176.44,166.993,154.281,98.1439,15.5822,0.0,0.0,0.0,0.0,0.0,0.0,0.0,12.2501,162.894,367.553,567.837,731.709,904.034,988.938,987.293,973.435,941.802,883.508,583.761,502.669,394.301,190.727,31.6375,0.0,0.0,0.0,0.0,0.0,0.0,0.0,0.0,0.0,0.0,0.0,0.0,0.0,0.0,0.0,0.0,71.0871,151.966,169.269,112.277,44.8544,13.8149,0.0,0.0,0.0,92.5351,589.097,1469.55,2000.22,1431.76,1099.96,990.506,773.633,678.419,536.07,405.949,290.793,208.538,147.911,99.9348,66.8572,38.2277,5.99174,0.0,0.0,193.794,478.053,874.533,1194.84,1376.03,1495.46,1584.97,1509.79,1281.69,1115.48,1052.98,969.835,986.866,684.114,336.789,119.811,0.0,0.0,0.0,0.0,0.0,0.0,0.0,30.5049,276.69,431.455,539.695,598.529,653.902,733.701,734.886,685.86,601.389,500.849,434.728,408.245,614.638,535.269,250.54,177.791,142.721,148.964,150.821,103.493,52.2861,0.0,0.0,74.143,157.13,179.856,235.078,366.026,510.725,648.507,798.631,892.871,904.445,854.103,739.25,609.193,621.214,568.211,384.846,271.597,202.129,179.752,171.538,196.075,230.546,278.61,228.953,507.818,855.284,1139.79,1386.56,1731.65,2094.27,2396.32,2582.13,2626.24,2592.6,2477.34,2092.93,1338.25,853.877,588.669,427.361,474.359,543.224,535.572,520.269,434.737,376.548,349.915,299.144,340.45,425.348,469.01,478.019,553.092,741.226,1023.44,1264.03,1408.92,1485.04,1443.21,1225.52,821.839,537.346,382.75,275.46,235.967,229.17,233.689,230.841,236.896,235.693,249.1,210.27,334.92,479.478,692.543,791.16,818.669,881.287,921.273,977.746,1038.59,1095.96,1039.1,784.745,583.117,526.605,461.325,368.972,326.168,318.015,277.572,234.266,204.769,160.753,118.157,28.6942,0.0,0.0,7.10458,46.0033,107.978,258.426,468.122,596.306,736.64,813.815,696.863,538.598,384.876,341.283,273.421,203.629,167.165,132.003,113.7,75.5795,31.1298,0.0,0.0,0.0,0.0,0.0,0.0,0.0,0.0,0.0,0.0,0.0,0.0,0.0,0.0,0.0,0.0,0.0,41.5721,74.8846,84.3216,96.0364,132.3,186.625,238.262,289.794,308.182,222.818,163.495,139.191,53.4863,0.0,0.0,0.0,0.0,0.0,0.0,0.0,0.0,63.8554,167.442,256.775,333.147,348.092,324.238,306.37,259.885,209.522,170.085,157.319,170.085,139.95,106.961,189.451,307.831,380.202,390.654,369.948,355.827,351.792,337.109,294.769,240.649,200.978,148.918,212.782,333.32,393.658,378.598,330.712,258.13,214.148,217.537,232.271,244.587,173.808,138.046,243.539,303.848,358.121,408.32,426.615,454.891,529.098,631.682,738.809,811.541,812.587,734.373,992.766,1157.55,1117.98,897.504,720.367,523.424,366.512,283.537,230.302,206.399,157.717,205.802,238.018,257.629,293.424,317.283,313.264,307.744,302.757,312.436,342.545,402.116,453.98,546.51,819.752,1070.96,959.836,877.716,849.686,768.48,708.599,638.294,552.833,502.492,346.974,463.502,466.369,438.879,420.914,397.544,314.48,221.338,168.8,141.867,140.469,160.41,203.33,267.089,490.962,883.218,1155.77,1003.96,809.215,642.452,564.884,525.321,495.851,471.025,336.41,539.074,483.646,325.145,212.137,144.529,83.0586,37.409,3.30572,0.0,0.0,0.0,2.59416,65.9102,220.252,562.731,959.65,1111.32,932.306,801.298,675.811,562.66,469.471,434.426,260.476,416.086,422.681,298.106,196.459,108.133,38.3277,0.0,0.0,0.0,0.0,0.0,0.0,0.0,0.0,0.0,142.472,327.739,459.506,466.165,396.419,268.881,157.671,83.6423,13.2908,0.0,0.0,0.0,0.0,0.0,0.0,0.0,69.6384,154.136,248.913,396.662,496.757,568.491,694.96,704.446,615.549,498.182,416.086,394.476,334.011,238.931,197.843,186.507,104.897,61.7948,0.0,0.0,0.0,0.0,0.0,0.0,0.0,0.0,0.0,0.0,0.0,53.6676,354.901,626.45,685.539,571.351,403.78,244.204,200.223,247.221,269.56,245.759,210.815,269.7,277.499,143.61,49.2937,1.33675,0.0,0.0,0.0,0.0,0.0,0.0,0.0,74.6272,295.204,354.758,318.415,327.057,305.519,207.964,118.182,75.2237,51.5725,0.0,0.0,0.0,0.0,0.0,0.0,10.7142,174.818,356.426,532.823,619.203,666.807,767.493,862.837,781.241,678.944,519.567,392.851,346.87,290.355,262.216,252.338,254.719,259.258,247.393,159.221,318.198,254.613,70.5683,0.0,0.0,0.0,0.0,1.6967,9.57467,22.0728,56.1709,152.827,430.498,940.486,1150.12,1169.91,992.2,928.445,894.365,796.245,731.851,729.669,709.014,492.736,431.494,295.89,115.786,0.0,0.0,0.0,0.0,0.0,0.0,0.0,0.0,0.0,131.737,434.196,670.274,771.115,844.065,919.744,887.513,</t>
  </si>
  <si>
    <t>0.0,0.0,0.0,0.0,0.0,0.0,0.0,0.0,0.0,163.476,231.863,221.67,153.704,139.885,184.291,227.909,258.132,269.259,251.981,219.586,189.35,197.989,228.225,251.677,327.237,419.544,505.055,447.948,386.29,459.937,447.624,701.66,1254.28,1975.7,2652.5,3012.75,2898.5,2195.02,1767.91,1446.27,752.147,343.644,178.884,61.723,0.0,0.0,0.0,0.0,5.86276,66.6196,72.5564,46.468,38.0872,55.4888,143.419,178.653,220.057,237.694,264.323,283.066,265.86,177.351,114.586,154.141,254.005,331.949,403.138,425.864,422.618,348.258,278.511,202.643,142.145,112.173,144.596,203.349,283.769,396.191,305.813,369.358,632.095,745.023,738.497,674.703,462.682,316.025,205.64,153.875,149.785,138.997,128.5,217.608,343.775,379.937,348.972,307.848,273.604,223.8,189.154,219.697,274.378,319.518,217.421,120.666,584.557,1028.83,1205.06,1188.87,907.782,572.379,621.245,1035.08,1190.2,995.921,997.533,1192.03,1302.28,988.133,762.364,663.381,568.652,477.937,410.509,472.092,484.512,438.215,312.894,191.479,525.02,836.264,909.683,873.334,719.731,534.497,523.466,598.766,628.343,573.544,451.898,336.925,253.036,130.693,0.0,0.0,0.0,0.0,0.0,0.0,0.0,0.0,0.0,0.0,0.0,0.0,0.0,0.0,0.0,0.0,0.0,0.0,0.0,40.527,86.1716,121.012,142.911,162.674,212.852,282.406,349.372,442.499,558.301,577.732,538.87,507.173,461.166,388.331,458.397,433.941,458.874,428.103,349.144,269.684,341.018,632.291,1110.55,1599.79,1978.69,2101.78,2003.82,1844.41,1619.8,1393.31,1227.24,1219.69,1124.98,1392.73,1302.1,640.774,357.496,307.548,512.368,710.64,626.918,544.226,476.471,255.092,85.9352,97.2676,314.989,906.854,2002.19,2648.26,2300.15,2542.09,2351.65,1859.29,992.288,963.217,963.217,868.505,926.667,943.284,735.595,974.98,1416.04,1260.79,929.022,652.772,507.765,286.18,173.59,314.666,620.554,1048.08,1445.76,1524.06,1317.08,1203.35,719.789,590.162,619.24,601.711,511.321,530.69,604.94,658.963,635.119,776.677,776.677,614.794,415.943,230.178,133.131,82.3576,244.869,685.052,1358.76,1605.47,1484.86,1547.91,1220.05,787.492,640.162,818.5,968.317,1029.47,921.737,717.888,477.405,250.307,30.4753,0.0,0.0,0.0,124.431,311.833,519.347,857.592,1808.33,2620.06,1580.04,922.164,828.187,896.961,924.437,888.14,800.175,792.842,764.315,848.16,870.026,950.796,982.094,970.44,1873.08,2063.42,1866.71,1649.81,1617.84,1675.95,1674.65,1641.13,1398.75,1155.0,811.148,668.526,582.003,434.906,317.174,225.288,198.651,203.024,196.118,130.319,42.6843,0.0,0.0,0.0,0.0,0.0,0.0,0.0,0.0,27.772,168.248,285.584,488.473,643.627,654.86,633.848,620.809,627.328,630.588,601.25,597.99,591.471,552.353,467.005,354.459,289.29,287.117,301.629,607.779,1506.16,2912.74,3525.69,3660.3,3620.38,3563.11,3294.67,2155.87,1360.11,946.767,686.615,496.356,421.41,425.241,386.123,329.152,257.404,273.303,324.085,368.206,380.745,345.052,312.335,442.704,1510.82,1912.91,1885.67,1787.87,1700.66,1505.89,1161.2,629.793,472.792,438.204,329.361,216.738,121.238,40.7802,0.0,0.0,0.0,0.0,0.0,0.0,0.0,0.0,0.0,65.0505,290.413,572.279,623.683,640.371,669.516,694.591,572.005,364.136,364.545,530.868,861.901,1191.55,1374.48,1447.65,1588.67,1671.25,1957.85,2257.35,2073.23,1982.47,1366.66,858.467,653.245,685.698,1329.23,1597.48,2549.84,3479.04,3574.14,3524.93,2796.42,1364.11,1173.7,1495.7,1303.18,910.446,836.798,644.494,372.717,254.205,320.49,431.862,366.526,318.181,272.813,550.137,1594.2,2137.35,2920.43,3326.57,3559.26,3678.99,3693.59,3687.18,3536.75,2385.85,1449.35,984.707,974.465,904.111,782.497,711.004,548.785,496.091,479.098,577.864,594.326,525.799,410.94,307.41,228.342,217.469,265.401,359.224,419.685,434.188,423.297,400.056,375.152,343.829,523.817,803.358,1099.25,1287.52,1224.55,1065.1,901.108,752.922,604.64,502.761,370.503,289.481,335.028,573.364,666.341,739.639,905.524,1109.95,1884.97,2934.47,3075.03,2848.87,2795.62,3404.7,3597.79,3665.51,3683.18,3698.59,3543.7,3573.37,3150.05,2334.07,2077.12,1886.23,1596.1,1752.54,1302.87,621.672,270.796,26.6426,119.047,62.6538,0.0,49.3472,14.8938,0.0,0.0,0.0,64.1231,442.986,993.441,1117.65,1129.15,1107.38,1344.53,1280.92,632.48,646.49,672.531,656.593,698.622,866.739,770.072,753.725,1060.86,2650.96,3567.08,3682.46,3572.14,3053.46,2059.2,1628.77,1700.96,1705.38,1577.5,1366.11,1336.1,1127.44,936.314,845.191,724.601,743.435,694.216,471.463,376.968,366.444,309.492,288.046,215.251,109.499,0.0,0.0,0.0,0.0,57.4049,106.307,87.5864,31.2803,0.0,0.0,0.0,0.0,0.0,0.0,0.0,0.0,0.0,0.0,124.349,260.367,330.57,445.968,487.378,488.296,365.405,277.648,253.312,231.339,207.423,162.631,124.135,201.056,379.813,486.478,401.842,458.317,538.052,607.941,647.379,685.2,786.039,1036.09,1289.54,1286.38,1058.89,866.926,697.435,844.32,841.427,697.582,589.116,609.148,717.547,645.309,565.438,568.414,688.664,712.721,528.1,308.801,190.31,190.632,208.714,195.939,187.512,200.929,156.937,110.745,260.319,216.294,97.0785,230.29,363.28,487.613,483.344,441.074,366.248,272.378,252.154,227.054,142.554,14.0267,0.0,0.0,0.0,0.0,0.0,0.0,0.0,0.0,0.0,0.0,0.0,0.0,50.183,166.095,221.712,268.828,298.913,320.605,365.089,412.23,485.714,574.289,593.448,519.512,415.071,327.692,248.578,226.602,207.053,145.502,83.4391,39.2197,0.0,0.0,0.0,0.0,0.0,0.0,0.0,0.0,0.0,0.0,0.0,0.0,38.2497,128.722,120.787,51.3992,0.0,0.0,0.0,0.0,40.2445,73.3385,110.601,193.894,237.732,212.088,148.263,43.224,0.0,157.522,272.403,337.793,394.642,410.815,274.461,237.18,499.798,874.141,1138.45,1054.19,916.848,691.489,636.968,726.202,773.586,700.375,374.594,264.956,174.233,65.9286,16.1083,0.0,0.0,95.325,161.735,176.593,155.054,131.361,95.4558,52.3018,0.0,0.0,0.0,0.0,0.0,0.0,0.0,82.66,229.364,349.884,464.85,533.631,496.296,387.716,348.602,346.576,344.246,589.53,754.957,1105.33,1467.57,1643.53,1406.8,1531.43,1890.52,2189.32,2085.21,1654.34,1044.29,879.847,845.703,933.492,1160.67,1369.93,1551.26,1805.43,2281.5,2514.97,2376.68,2157.8,2110.8,2288.21,2907.43,3314.38,3250.31,3257.07,3378.66,3497.01,3623.51,3685.33,3685.74,3682.33,3669.86,3618.14,3512.25,3523.78,3481.93,3401.95,3210.07,3041.0,2793.73,2350.34,1784.76,1195.63,1004.38,626.889,590.04,816.091,823.494,613.952,623.515,774.228,859.809,806.564,736.787,643.201,513.858,378.834,450.013,846.009,1357.31,1669.74,1798.09,2248.93,2062.17,1695.68,1290.02,1910.95,2625.06,2335.94,1855.21,1664.46,1773.17,1939.09,2022.19,1530.03,801.82,357.445,148.543,31.0104,0.0,0.0,0.0,0.0,0.0,0.0,0.0,0.0,0.0,0.0,0.0,0.0,51.8439,91.6647,112.174,98.3043,97.8114,134.479,143.778,70.111,62.8315,117.882,192.356,271.189,319.488,326.349,276.255,174.407,48.3627,0.0,0.0,0.0,0.0,0.0,0.0,0.0,0.0,154.678,302.291,389.714,440.879,392.436,274.366,149.784,146.914,171.198,232.325,326.133,431.556,546.174,582.039,563.261,556.737,566.523,589.358,567.757,510.098,445.689,355.526,170.378,464.116,1492.0,1963.47,2344.6,2628.05,2677.64,2381.81,2922.37,3311.87,3257.53,3261.01,2943.88,3367.81,3206.35,2195.52,2425.58,2297.08,2213.81,1959.32,2881.29,3503.63,3217.74,2969.3,2743.68,2924.6,3321.12,3614.18,3703.08,3727.25,3755.01,3755.01,3755.01,3755.01,3755.01,3692.51,2330.69,1321.09,398.325,0.0,73.4143,445.221,799.985,1306.38,2233.28,3165.82,3230.36,3559.04,3712.74,3755.01,3755.01,3755.01,3737.8,3713.59,3696.24,3559.88,3108.38,2994.95,2999.56,3002.71,2927.69,2757.82,2879.37,2949.11,3051.54,2728.46,1567.03,1112.12,644.426,469.116,492.496,632.725,2191.12,2150.28,1844.23,1655.96,1492.73,1448.52,1473.78,1323.47,833.431,547.852,428.101,346.195,287.665,244.078,189.824,93.9037,0.0,0.0,0.0,0.0,0.0,0.0,0.0,0.0,0.0,0.0,50.0599,81.195,75.705,79.3215,87.9325,131.555,206.002,273.397,306.981,312.191,299.794,274.163,239.675,176.686,117.83,82.9529,65.5142,61.1545,61.1545,63.5275,72.4512,8.05527,0.0,0.0,0.0,0.0,0.0,0.0,0.0,0.0,0.0,0.0,28.7932,127.062,218.858,314.976,420.756,502.183,558.017,643.235,759.315,897.867,1102.95,1394.39,1641.78,1771.46,2725.82,2946.99,2514.82,1824.96,1242.14,960.704,890.175,794.277,729.027,852.617,1029.54,1151.98,1151.98,1051.67,855.989,594.806,366.327,225.305,129.844,92.9608,1.83875,0.0,0.0,0.0,0.0,0.0,0.0,0.0,61.8596,119.76,106.893,56.3297,11.0595,0.0,0.0,0.0,0.0,0.0,0.0,0.0,0.0,0.0,0.0,0.0,0.0,0.0,0.0,0.0,0.0,0.0,0.0,0.0,0.0,0.0,0.0,0.0,0.0,0.0,0.0,0.0,0.0,19.1306,123.658,202.173,228.619,229.151,201.495,130.002,0.0,0.0,0.0,0.0,0.0,0.0,0.0,0.0,13.8541,35.0212,17.8353,20.5528,169.607,339.478,442.365,534.271,626.23,688.723,628.895,456.659,286.479,168.96,97.1426,53.4329,3.11658,0.0,0.0,0.0,28.4289,80.1479,138.442,218.53,240.984,221.213,171.984,117.161,150.087,275.535,431.035,558.309,581.025,503.14,386.777,292.618,257.62,283.578,298.72,296.859,322.826,399.616,473.484,396.437,366.401,1397.97,2544.32,2608.05,2529.82,2097.23,1169.23,401.871,298.733,666.763,906.137,858.562,723.18,691.453,751.099,537.888,404.638,583.962,699.425,779.005,830.645,794.482,761.878,601.147,408.884,122.392,0.0,0.0,0.0,0.0,0.0,0.0,0.0,0.0,0.0,4.64041,122.395,238.097,329.932,360.717,341.437,300.162,250.437,204.804,163.518,120.058,80.944,12.3024,0.0,130.128,259.283,304.681,352.462,426.152,414.179,296.665,294.513,381.728,651.741,648.688,455.188,356.016,254.47,124.439,18.3406,0.0,3.23319,0.0,5.56004,33.8902,40.3697,20.0716,0.0,79.5648,249.215,439.427,619.417,670.561,642.559,572.98,379.5,311.374,327.34,497.74,830.533,1240.64,1407.13,1213.18,846.759,494.477,264.879,152.361,182.493,296.564,492.816,627.83,591.818,1150.05,1087.31,695.87,520.75,423.882,341.34,249.496,47.658,27.3919,139.517,337.959,860.537,1667.28,2325.66,1976.64,1090.73,578.975,385.315,440.318,492.084,424.813,329.02,208.175,91.2025,117.771,316.62,588.403,604.316,530.018,444.301,346.078,141.158,0.0,0.0,0.0,0.0,0.0,0.0,0.0,0.0,29.3871,102.851,187.199,314.619,590.446,981.738,1283.09,1366.69,1693.63,1812.68,1830.01,1536.11,877.568,396.18,387.552,662.775,1317.53,2044.74,2907.8,2823.7,2515.72,2499.12,1920.46,1306.09,1016.22,615.396,271.594,106.127,101.829,227.193,214.646,289.963,425.867,637.768,937.82,1302.2,1455.04,1400.27,1175.32,886.551,1020.23,1075.74,849.642,568.86,390.282,340.848,340.848,345.179,345.179,347.345,328.127,286.967,219.81,104.994,0.0,0.0,0.0,0.0,0.0,0.0,0.0,0.0,0.0,0.0,0.0,0.0,0.0,0.0,0.0,0.0,91.0563,126.217,113.227,137.271,156.762,83.1291,35.4845,65.5086,135.544,125.124,287.57,358.539,434.243,487.183,505.79,470.556,397.839,283.806,320.207,486.738,666.01,804.723,897.9,969.901,1078.87,1211.62,1093.38,1030.13,954.194,900.038,991.687,1004.18,1125.79,1399.07,1393.27,1085.61,675.036,354.591,257.781,303.066,243.833,81.74,0.0,0.0,51.851,287.285,492.08,496.458,378.531,274.974,190.604,113.216,46.7402,0.0,0.0,0.0,16.7656,168.753,272.597,423.976,543.894,580.581,483.165,334.109,218.906,69.6177,0.0,0.0,0.0,0.0,0.0,0.0,0.0,0.0,0.0,0.0,0.0,0.0,0.0,0.0,0.0,0.0,0.0,0.0,0.0,0.0,0.0,0.0,0.0,0.0,0.0,206.344,469.791,593.499,510.211,895.178,2790.96,2840.04,2358.69,2720.2,3395.36,3673.28,3732.23,3068.62,1893.27,2969.6,3494.55,3489.16,3504.03,3514.76,3559.0,3635.19,3628.15,3315.88,2727.34,2210.9,1691.86,1419.08,1403.57,1297.11,1079.99,887.286,681.02,536.477,409.044,322.131,252.691,226.542,298.767,207.432,123.632,152.968,184.584,207.804,201.334,222.903,221.387,79.6342,0.0,0.0,0.0,0.0,28.9194,153.443,192.89,173.304,127.832,58.1688,0.0,0.0,0.0,0.0,0.0,0.0,28.7287,98.7743,168.8,251.773,328.568,319.982,194.065,0.0,0.0,0.0,36.6879,173.358,236.1,253.408,264.225,283.697,292.351,292.724,305.711,413.718,459.196,471.111,327.378,288.647,330.871,292.453,154.414,0.0,0.0,0.0,0.0,0.0,0.0,0.0,25.3101,64.7546,106.317,100.303,113.651,172.478,202.999,215.969,279.127,361.316,398.903,396.574,260.628,280.354,598.786,961.526,1278.18,1528.81,1810.31,1698.78,1266.32,913.558,701.743,649.853,573.879,601.816,623.248,689.183,709.215,758.199,656.204,480.053,313.476,207.262,25.1819,0.0,0.0,0.0,0.0,0.0,167.887,319.197,167.055,0.255646,0.0,0.0,0.0,113.605,320.601,308.007,198.577,125.3,71.4204,17.5405,71.6752,186.209,292.352,406.734,453.728,460.215,414.051,313.24,124.714,40.1206,50.1667,118.403,225.41,345.908,511.927,703.945,952.832,1376.23,1364.09,1129.26,985.283,930.81,795.955,707.032,625.653,602.34,618.584,530.864,436.646,550.357,751.498,774.747,651.28,500.069,385.388,345.093,355.165,460.557,616.46,689.158,546.753,550.982,827.94,1154.12,1429.33,2031.6,1973.42,1597.46,1699.33,2734.87,3239.87,3175.1,3198.44,3423.42,3601.66,3634.14,3577.08,3513.1,3353.0,3180.25,3207.41,3112.11,2981.85,2976.85,2666.19,2223.64,1893.3,1425.17,846.267,557.652,414.222,321.416,299.596,299.884,260.595,228.09,245.557,271.495,278.749,195.063,111.653,67.4798,60.5545,88.7653,127.826,149.788,152.581,109.784,77.7193,88.8116,106.232,134.54,160.671,180.268,136.718,82.2789,56.3566,45.6835,8.87208,0.0,0.0,0.0,0.0,0.0,0.0,0.0,1.90018,53.4667,137.458,217.609,280.43,326.797,348.033,440.055,510.54,463.155,373.075,342.791,310.88,276.492,241.863,218.014,202.67,207.503,216.611,229.008,262.927,310.376,265.095,244.085,249.422,304.81,433.427,637.655,892.183,1074.22,992.655,883.41,771.333,636.878,486.877,358.611,278.107,260.644,282.88,346.641,401.662,419.52,371.374,276.163,445.112,494.361,366.302,275.372,213.179,240.149,315.139,394.43,466.511,497.794,588.048,705.219,645.005,469.387,270.699,105.189,0.0,0.0,0.0,0.0,0.0,0.0,0.0,0.0,0.0,28.1993,26.6489,83.7392,158.156,241.166,333.019,417.576,457.028,352.573,356.574,374.226,383.423,409.014,422.024,376.488,268.24,133.801,3.69864,0.0,0.0,0.0,0.0,0.0,0.0,25.9558,139.231,190.201,202.231,281.308,436.833,582.079,580.115,420.825,545.901,1081.47,1643.87,1534.16,1125.02,918.302,751.194,624.419,647.288,668.747,769.791,813.123,658.25,893.442,1265.19,1126.67,952.67,904.533,886.055,1011.78,1505.34,2237.46,2858.92,2976.14,2738.6,2664.23,2460.54,2104.15,1658.94,1338.89,1261.96,1244.77,1150.5,925.189,680.533,523.004,369.811,215.377,426.148,1012.79,2111.82,2463.05,2531.36,2475.3,3063.11,3574.79,3691.41,3625.41,3095.85,2091.24,1635.67,1257.57,1113.45,1057.99,779.361,725.125,755.441,734.288,646.609,564.485,502.071,388.661,809.38,2177.3,2550.81,2488.37,2415.74,2456.67,2735.25,3064.36,3275.45,3207.99,2533.53,1925.22,1504.57,1238.27,979.013,773.288,601.318,560.404,575.148,632.008,666.305,597.088,554.39,577.754,856.374,787.172,546.731,400.43,321.837,303.364,354.303,504.336,718.0,875.911,964.441,1092.27,1057.55,929.114,846.065,665.314,609.884,600.092,442.752,320.531,283.287,287.311,267.756,334.519,513.624,557.277,578.382,609.017,652.311,724.435,810.745,931.461,1129.93,1223.51,965.097,806.946,622.35,488.839,397.661,340.845,275.718,195.394,165.001,115.07,69.4813,21.7212,0.0,0.0,67.5171,161.292,155.789,66.3479,0.0,0.0,0.0,0.0,0.0,0.0,0.0,0.0,0.0,0.0,0.0,0.0,37.5378,100.709,124.541,105.042,59.3106,59.3106,108.77,127.404,223.745,233.6,155.098,70.4688,0.0,0.0,47.6237,239.114,369.112,410.023,368.911,348.623,320.949,286.718,232.973,157.416,90.2192,77.4866,105.678,121.059,99.683,52.3286,0.0,0.0,0.0,222.927,366.18,428.25,586.36,789.786,965.655,1124.96,1202.68,1032.55,1190.03,1563.84,1773.77,1290.9,541.074,49.7635,0.0,0.0,258.2,432.014,352.952,233.673,164.911,218.368,423.493,487.161,489.125,497.807,531.768,559.229,596.674,652.535,629.68,492.268,436.296,456.609,395.992,342.416,288.453,207.95,101.532,0.0,0.0,0.0,0.0,0.0,0.0,20.9469,298.899,457.336,627.982,833.013,994.099,1175.5,1345.39,1492.6,1542.76,1092.33,912.119,916.919,865.127,596.558,378.786,259.367,174.821,147.213,178.063,167.429,54.5012,0.0,0.0,0.0,0.0,0.0,302.362,366.924,346.069,291.413,250.056,241.159,232.636,214.536,286.77,366.883,373.356,343.135,344.063,406.972,427.92,399.739,387.694,358.652,317.482,345.651,463.238,540.709,297.186,261.828,697.919,750.102,556.884,449.964,440.364,365.874,325.689,337.75,335.78,300.762,282.074,276.136,423.746,710.785,850.642,727.091,476.44,244.772,112.923,69.7832,54.6843,0.0,0.0,0.0,0.0,249.955,402.952,448.538,475.962,444.09,345.484,214.573,82.9442,129.649,302.417,634.37,965.16,1206.14,1247.68,1390.59,1566.96,1435.43,1289.73,931.935,741.645,506.909,275.113,280.777,902.99,2136.82,2554.78,2553.31,2515.05,2466.04,2025.17,1328.45,1522.12,1639.59,1613.83,1644.49,1204.82,807.846,589.179,477.607,580.812,903.216,1162.52,879.225,650.939,610.849,325.847,167.537,425.872,922.78,1475.13,2225.25,3206.07,3573.55,3539.65,3538.51,3696.46,3627.72,3511.84,2485.53,1821.71,1720.95,992.484,694.439,818.625,1815.31,2560.82,1834.39,2328.05,1574.87,710.981,1985.94,3696.75,3755.01,3755.01,3755.01,3755.01,3749.03,3574.55,2628.0,2338.74,2367.2,2316.2,2396.31,2716.2,2741.5,2489.43,2200.1,1777.63,1237.21,972.754,911.533,1337.03,1754.02,2169.18,3755.01,3755.01,3755.01,3755.01,3644.86,3573.96,3596.05,3687.67,3755.01,3755.01,3741.25,3596.52,3023.55,2076.99,1663.55,1352.84,1029.18,911.201,813.099,702.136,509.309,305.137,127.716,206.886,689.846,665.962,674.88,840.586,1050.0,1189.4,1180.01,1079.0,792.311,318.565,351.104,549.941,746.225,751.501,851.832,1006.16,1253.15,1324.43,1206.52,931.898,708.685,370.336,0.0,0.0,0.0,0.0,53.8007,194.923,358.879,426.514,313.218,580.453,1061.28,971.371,511.293,146.807,0.0,0.0,0.0,0.0,0.0,0.0,29.1625,175.835,373.68,575.331,496.82,220.71,0.0,0.0,0.0,0.0,0.0,0.0,0.0,0.0,0.0,0.0,0.0,0.0,0.0,125.758,352.088,577.169,721.267,768.912,790.565,699.128,479.705,338.026,234.899,129.012,162.956,341.789,643.929,1151.13,2168.65,2922.98,3643.03,3119.48,624.111,1207.77,2097.39,2918.23,3268.77,3647.47,3640.16,3502.68,3066.3,3166.92,2810.61,2203.6,1352.69,1076.93,623.777,762.26,616.307,597.22,710.462,757.725,908.243,1348.37,1756.21,1880.73,1636.67,1166.47,972.342,675.946,373.1,227.074,152.477,60.3799,0.0,0.0,0.0,0.0,0.0,15.1015,65.028,124.794,406.256,574.081,719.639,858.218,960.704,974.648,883.883,663.878,319.83,223.307,572.379,920.246,913.654,628.497,294.352,66.0378,4.2857,109.39,193.149,259.796,260.321,194.643,149.004,115.984,129.217,199.112,357.455,730.674,992.743,1031.76,960.705,887.509,714.413,585.377,987.123,1517.67,1967.94,2094.95,1906.67,1689.06,1305.4,825.708,582.579,497.171,601.251,724.329,480.93,652.652,712.736,774.34,1323.06,2351.26,2753.82,2498.41,2617.48,3062.13,3616.2,3733.58,3708.07,3613.01,3662.04,3644.31,3571.71,3539.69,3544.62,3558.42,3515.91,3241.88,2826.82,2295.81,2266.85,3012.56,3104.8,3182.99,3181.85,3164.22,3137.25,2921.51,2540.27,2079.14,1650.71,1063.7,689.884,573.983,410.441,265.85,177.223,185.642,274.521,359.854,325.837,261.08,202.792,168.017,221.749,396.492,394.062,404.99,402.892,354.433,323.499,305.706,292.463,301.031,293.094,277.475,304.984,347.562,350.828,266.949,135.164,20.3742,0.0,0.0,0.0,0.0,0.0,0.0,0.0,106.161,71.4992,0.0,0.0,0.0,33.955,107.86,179.922,248.363,319.471,313.147,358.203,568.209,669.759,538.003,314.668,163.716,0.0,0.0,0.0,0.0,0.0,0.0,0.0,0.0,0.0,0.0,0.0,0.0,0.0,0.0,0.0,0.0,0.0,0.0,0.0,76.5934,266.692,360.526,322.835,211.592,147.413,100.364,44.4341,34.0788,114.184,181.316,125.013,50.0397,287.725,336.078,325.78,279.95,221.884,183.324,168.543,120.272,0.0,0.0,0.0,0.0,0.0,117.453,212.293,288.262,377.187,487.961,518.561,545.921,514.826,476.162,422.52,321.34,567.717,1625.96,1538.65,1074.86,1666.93,2190.2,1504.01,648.627,809.531,1193.13,1875.65,3481.4,3489.62,3452.48,3268.28,3706.94,879.922,1089.37,2685.01,3349.21,3600.39,3588.21,3046.87,1817.27,1629.29,2946.19,3343.65,3287.83,3110.71,3114.76,2939.38,2351.44,1561.06,944.479,769.583,532.174,314.007,193.961,169.123,210.189,221.493,220.022,201.244,148.286,99.5054,106.122,127.03,275.31,458.172,572.823,741.084,909.025,951.571,875.817,758.938,662.914,562.513,445.767,334.683,353.005,432.56,489.19,588.085,602.98,533.937,468.286,365.853,281.68,212.953,161.131,188.49,234.011,332.212,479.206,656.576,829.442,846.94,746.392,631.404,516.714,349.697,82.9445,0.0,0.0,128.983,333.507,483.434,610.471,612.292,539.463,424.255,373.845,427.21,491.911,325.283,953.906,1735.26,2078.63,2113.97,2042.05,1850.91,1541.95,1224.52,1230.74,942.688,593.629,346.149,223.081,114.407,0.0,0.0,0.0,0.0,0.0,0.0,9.68834,46.7873,0.0,0.0,0.0,0.0,0.0,6.40067,0.0,0.0,0.0,0.0,0.0,0.0,0.0,0.0,0.0,0.0,81.6568,319.823,591.034,679.038,528.432,522.777,638.4,809.308,835.673,532.926,314.114,891.583,1356.42,1439.81,1296.91,968.085,732.264,553.145,364.804,172.954,0.0,0.0,0.0,0.0,0.0,0.0,0.0,0.0,0.0,0.0,0.0,42.4568,117.547,71.0104,0.0,0.0,0.0,53.3456,189.022,240.799,248.9,219.564,134.05,6.80647,0.0,0.0,0.0,196.373,410.695,743.685,1192.4,1533.87,1550.7,1298.03,1094.52,979.506,965.624,626.299,331.287,286.655,478.36,634.999,894.954,1207.87,1377.37,1316.08,1066.82,762.329,368.954,296.415,263.919,220.526,174.894,142.395,124.63,181.05,318.19,446.634,515.589,523.512,439.592,161.677,0.0,0.0,0.0,0.0,0.0,108.645,221.821,278.409,266.26,216.756,243.983,361.698,588.909,947.777,1600.31,2046.3,2144.44,2171.69,2082.34,1910.51,1835.08,2030.44,1793.95,1107.16,698.594,548.333,268.038,34.1434,0.0,0.0,0.0,0.0,0.0,67.783,241.866,610.948,1533.42,2455.85,2962.21,2677.31,2005.03,1302.92,968.537,821.514,822.554,630.916,534.253,390.383,355.95,220.066,66.0262,0.0,0.0,0.0,0.0,0.0,0.0,0.0,0.0,0.0,0.0,165.628,470.141,984.894,1389.76,1468.67,1384.8,1206.43,912.907,661.87,474.738,215.208,57.2999,0.0,0.0,0.0,0.0,0.0,0.0,0.0,0.0,25.1369,311.565,872.077,1560.3,1636.76,1142.96,631.543,451.863,612.533,747.326,846.088,784.362,568.665,370.623,240.682,220.937,492.691,602.746,91.0117,0.0,0.0,13.78,98.6472,128.706,256.435,573.215,1151.55,1780.72,1873.24,1555.56,1076.02,797.78,778.044,583.132,433.182,446.631,421.904,402.651,616.289,636.01,362.15,164.723,0.0,0.0,0.0,40.4829,199.053,377.508,654.157,899.868,963.274,1036.89,1001.81,683.676,382.227,278.352,285.285,302.93,376.04,729.152,967.104,844.272,641.573,518.463,437.563,430.196,350.89,224.601,86.3403,0.0,0.0,0.0,0.0,0.0,112.515,247.588,261.069,261.749,247.291,179.422,49.4364,11.0801,0.0,0.0,0.0,0.0,0.0,0.0,0.0,0.0,0.0,23.0094,150.918,262.198,329.657,350.738,332.615,152.069,0.0,0.0,0.0,0.0,0.0,5.8241,91.431,164.184,222.179,305.83,342.788,366.836,397.04,396.155,341.506,295.334,304.825,348.568,477.709,538.209,348.568,169.515,114.056,161.368,319.299,1039.52,2054.04,1825.47,1211.16,841.081,735.023,769.709,644.01,652.563,571.754,583.605,752.134,953.781,935.128,901.199,967.226,1149.41,1461.07,1769.59,1993.1,2140.7,2234.65,2069.41,1499.82,998.889,614.374,422.883,361.054,320.742,351.392,523.299,695.498,758.899,675.563,624.352,1111.08,2254.91,2965.61,3248.34,3402.64,3465.38,3418.9,3416.51,3499.6,3528.79,3501.63,3321.27,2552.12,1881.4,1267.75,617.516,380.004,364.487,375.0,372.353,385.805,398.751,406.002,441.908,553.116,772.341,708.044,594.945,522.155,504.69,532.762,561.437,516.832,466.357,400.483,405.383,566.909,947.16,1057.01,794.762,531.538,336.456,246.329,179.792,106.455,59.3883,124.584,179.867,164.626,0.0,0.0,0.0,0.0,0.0,0.0,0.0,0.0,0.0,0.0,52.0348,316.702,807.329,1168.41,996.802,784.02,616.833,514.929,438.57,391.151,379.05,386.386,364.511,151.336,0.0,0.0,0.0,0.0,0.0,0.0,0.0,0.0,0.0,119.783,320.035,826.439,1603.22,2056.15,1754.95,1426.93,1323.92,1251.43,1141.08,1018.24,974.501,972.159,814.26,712.317,589.882,296.346,79.5335,0.0,0.0,0.0,0.0,0.0,0.0,0.0,0.0,0.0,0.0,0.0,62.9494,106.411,182.126,270.79,310.226,302.418,277.37,252.223,169.46,0.0,0.0,0.0,97.8294,189.864,233.279,247.43,253.427,257.641,293.855,453.687,892.956,1478.11,1629.34,1216.15,868.013,622.025,414.615,297.59,242.277,238.577,226.245,209.464,180.207,29.9404,0.0,0.0,0.0,0.0,0.0,0.0,0.0,0.0,26.9579,90.8605,174.445,313.946,584.934,863.906,1003.86,998.419,1029.05,1126.01,1154.06,1068.52,907.954,751.734,534.707,187.392,90.0218,0.0,0.0,0.0,0.0,0.0,0.0,7.85545,75.1506,122.052,135.89,96.409,42.3304,4.70636,20.1636,67.657,177.503,319.756,453.285,445.182,307.281,155.235,36.6973,0.0,0.0,369.898,663.631,810.539,836.126,761.418,609.557,411.123,250.875,85.5035,0.0,21.254,260.488,539.302,773.504,907.182,1045.65,1158.1,1228.63,1468.5,1732.33,1137.6,622.812,311.82,157.487,257.704,410.795,464.986,428.521,415.853,441.688,509.749,499.248,317.125,79.841,0.0,193.316,275.275,186.401,95.1811,33.7469,0.0,0.0,9.33146,20.3869,12.1106,0.0,0.0,0.0,0.0,0.0,0.0,0.0,40.8179,74.6653,94.0086,81.5378,41.6904,0.0,0.0,0.0,0.0,0.0,0.0,0.0,0.0,0.0,0.0,36.0666,111.276,95.6085,0.0,0.0,0.0,0.0,0.0,0.0,0.0,0.0,0.0,0.0,0.0,0.0,0.0,4.31002,43.4121,0.0,0.0,0.0,45.7076,116.623,164.147,192.434,199.291,206.469,125.348,471.968,993.754,1516.94,1948.99,2032.38,1947.9,1859.1,1781.63,1649.76,1464.23,1269.54,1368.86,1694.94,1546.54,1222.77,1253.53,1445.49,1376.54,1502.59,1521.01,1323.89,1144.63,1390.15,1631.86,1225.08,719.173,567.858,611.821,609.407,611.199,747.313,932.855,1136.1,1306.09,1589.96,1709.84,1304.81,972.144,825.846,682.418,614.858,535.104,451.961,378.429,346.073,322.71,242.76,145.524,12.4432,2.17955,0.0,0.0,0.0,0.0,0.0,0.0,0.0,0.0,0.0,0.0,0.0,0.0,0.0,0.0,52.8036,137.322,209.066,254.884,283.438,301.133,284.116,105.506,12.8446,53.2287,104.483,113.496,126.877,106.888,34.8425,0.0,0.0,0.0,0.0,0.0,0.0,0.0,0.0,0.0,0.0,0.0,0.0,0.0,0.0,0.0,0.0,0.0,0.0,0.0,0.0,0.0,0.0,53.1993,136.601,239.093,342.039,458.038,551.817,961.058,2496.01,2806.97,1862.24,1107.56,717.458,434.609,347.219,345.652,357.46,387.654,322.618,381.831,561.744,714.063,789.944,935.865,1227.9,1668.22,2178.15,2486.85,2687.71,2658.43,2523.92,1986.33,1311.56,627.378,336.493,211.301,139.058,126.668,137.861,119.055,63.6924,0.0,0.0,233.456,620.345,878.134,950.991,925.609,896.695,914.024,924.347,932.481,962.145,1001.59,989.561,921.533,1030.94,940.546,696.434,414.829,250.802,144.066,58.4626,0.0,0.0,0.0,0.0,0.0,0.0,99.3686,229.295,340.027,411.073,441.036,455.478,470.196,479.66,502.241,529.988,568.752,694.556,670.047,485.213,304.9,170.706,46.7826,0.0,0.0,0.0,0.0,0.0,0.0,103.673,446.884,537.235,612.577,776.943,1035.05,1395.03,1681.89,1751.53,1535.37,1087.65,679.253,506.647,354.245,291.378,285.812,290.962,293.986,296.918,342.394,351.352,362.661,296.56,300.229,565.013,466.025,326.767,241.114,185.399,165.888,163.432,182.302,207.815,225.473,277.08,395.89,600.963,721.613,675.117,530.529,385.074,306.099,223.438,142.77,51.4414,0.0,0.0,0.0,0.0,0.0,43.0707,119.507,181.341,226.624,265.894,301.435,341.158,400.185,518.872,620.041,742.567,648.045,446.687,273.75,176.721,117.64,60.5055,0.0,0.0,0.0,0.0,0.0,0.0,0.0,0.0,0.0,0.0,12.4036,56.0494,62.3135,49.5863,99.9365,176.054,279.841,727.304,1226.05,1188.92,868.083,251.523,0.0,0.0,0.0,170.553,298.393,335.092,164.256,330.057,876.726,972.601,1052.81,1145.18,1257.22,1383.11,1486.83,1446.41,1243.05,934.553,770.883,587.598,409.148,323.417,252.552,117.962,0.0,0.0,0.0,0.0,57.6894,147.774,31.6554,0.0,0.0,0.0,0.0,30.2962,115.245,158.743,150.411,98.7486,38.8849,113.074,630.987,1830.2,2094.15,1676.59,1688.4,1841.03,1645.67,1481.74,1667.44,1195.75,804.634,466.603,382.883,322.78,181.163,80.7285,12.5878,0.0,0.0,0.0,0.0,0.0,26.6858,247.279,767.172,1999.77,2860.22,2766.09,2562.44,2148.67,1419.67,909.011,706.113,633.913,663.674,579.294,437.957,1147.63,1508.33,1459.97,1525.08,1858.16,2103.0,2014.88,1763.24,1597.5,1631.3,1803.14,2399.42,2811.07,2678.43,2461.5,2161.36,1861.91,1560.61,1288.87,1061.54,1119.18,1021.33,559.73,281.301,490.509,528.998,335.517,135.522,0.0,0.0,0.0,0.0,0.0,0.0,300.234,1500.04,2672.55,2926.9,2619.88,2097.88,1725.19,1483.48,1244.31,915.039,678.74,503.893,334.192,320.871,483.318,696.465,762.99,777.842,661.115,556.429,542.828,689.097,1160.14,2147.19,2961.64,2413.39,2047.79,1785.41,1435.12,1112.32,780.66,524.047,388.635,306.641,217.429,194.309,36.4196,0.0,292.689,600.307,883.179,916.844,638.302,359.76,185.595,24.3439,0.0,0.0,22.8516,240.856,592.454,937.44,1048.56,966.845,698.977,396.74,183.046,0.0,0.0,0.0,0.0,0.0,0.0,0.0,0.0,0.0,0.0,50.5824,213.663,332.837,443.34,605.064,895.431,1256.87,1564.48,1272.17,865.434,715.621,628.375,502.03,404.179,331.812,238.64,157.928,67.4441,54.0327,51.1791,24.7779,0.0,0.0,0.0,0.0,0.0,0.0,0.0,0.0,0.0,0.0,0.0,0.0,0.0,0.0,58.2665,173.58,263.545,317.245,343.045,343.045,219.111,113.889,0.0,0.0,87.9226,248.991,304.895,308.527,291.745,243.137,153.213,36.0984,0.0,0.0,0.0,0.0,0.0,25.5411,66.4082,109.579,106.006,10.9774,0.0,0.0,0.0,143.084,337.501,561.564,776.645,882.436,903.444,913.094,936.052,871.319,729.718,534.034,308.779,164.016,226.755,248.638,200.655,158.873,119.262,66.757,35.3033,5.93687,0.0,0.0,0.0,0.0,13.459,182.833,310.168,459.702,408.215,302.263,216.253,63.4221,0.0,0.0,0.0,0.0,229.789,523.168,779.569,957.426,1127.46,1185.48,1149.42,1112.08,1194.47,1245.53,701.067,161.73,740.693,893.926,285.043,452.24,705.941,811.241,832.321,1336.02,851.965,349.665,368.977,562.73,932.785,1103.77,1015.37,794.12,411.041,176.079,36.4833,41.4272,56.8018,27.4214,0.0,0.0,0.0,4.00187,138.677,199.455,159.486,81.6528,18.5445,0.0,0.0,0.0,0.0,144.963,326.447,451.714,468.47,434.09,323.871,285.719,449.454,630.609,643.322,641.043,536.107,504.308,710.169,957.336,933.5,745.486,575.933,438.551,367.496,377.971,441.033,514.683,411.779,323.989,402.578,490.146,526.742,493.213,430.811,374.701,350.624,334.147,312.858,257.506,139.371,95.5978,47.3541,0.0,36.0055,123.674,127.303,84.6323,52.7134,86.2834,149.227,221.564,262.669,287.892,340.468,397.19,386.389,352.562,323.75,254.183,169.566,108.255,89.4783,111.077,92.3998,0.0,105.207,66.0096,0.0,0.0,0.0,2.14071,119.245,265.981,462.969,817.683,1146.35,1226.98,1567.09,1625.23,1433.77,1337.48,1258.73,1179.0,1110.35,1041.71,948.556,911.526,645.875,585.401,454.754,249.025,40.8255,0.0,0.0,0.0,0.0,0.0,0.0,0.0,25.4448,244.02,574.995,896.589,1079.68,1213.55,1353.19,1505.15,1445.86,1697.06,1236.87,931.98,675.724,701.377,412.834,132.073,0.0,0.0,0.0,0.0,0.0,0.0,0.0,0.0,0.0,110.415,290.054,438.76,529.01,552.52,604.571,687.672,767.156,809.741,815.276,799.852,561.753,468.75,312.604,90.768,0.0,0.0,0.0,0.0,0.0,0.0,0.0,0.0,0.0,288.796,1121.47,1935.55,2267.33,2698.92,2610.59,2358.89,1836.36,1343.38,930.054,586.959,426.022,338.605,324.472,305.455,218.617,64.9583,0.0,0.0,0.0,0.0,0.0,0.0,0.0,58.7569,318.341,667.245,1018.36,1389.64,1763.04,1938.72,1935.79,1911.17,1849.99,1715.78,1057.36,909.083,721.065,359.978,94.8394,0.0,0.0,0.0,0.0,0.0,0.0,0.0,0.0,0.0,0.0,21.8496,3.31882,0.0,0.0,0.0,0.0,168.26,301.992,327.877,242.618,119.438,61.6691,0.0,0.0,0.0,208.178,1070.43,2837.21,3491.01,2772.52,2135.99,1941.5,1473.87,1282.58,962.991,744.503,543.131,394.687,295.926,221.95,160.388,107.105,47.1092,0.0,0.0,364.567,869.353,1695.12,2324.29,2677.1,2881.55,3007.4,2902.59,2501.58,2163.57,2052.51,1904.77,1935.03,1294.02,614.97,253.889,15.8875,0.0,0.0,0.0,0.0,0.0,0.0,92.7314,521.103,794.145,968.843,1093.53,1229.15,1393.65,1396.03,1297.53,1100.54,906.146,799.428,749.124,1132.99,961.7,480.261,340.627,288.162,297.502,300.28,228.572,133.269,29.4641,0.0,173.948,309.718,343.715,454.241,664.171,922.086,1215.94,1524.09,1737.34,1763.98,1648.09,1404.79,1119.65,1149.09,1019.28,702.042,513.149,380.305,343.559,331.272,367.978,444.072,524.101,440.498,917.394,1650.8,2211.94,2695.14,3211.93,3530.13,3664.89,3709.47,3717.46,3711.37,3690.48,3529.58,2612.44,1647.57,1069.38,787.537,863.392,974.538,962.189,937.49,799.442,685.345,635.471,556.174,620.689,783.537,854.758,869.299,990.466,1408.76,2000.02,2465.52,2733.41,2863.72,2792.12,2386.93,1573.81,965.052,697.824,519.182,456.236,440.984,451.126,444.734,458.321,455.622,478.012,398.574,612.052,871.654,1310.96,1509.08,1566.51,1710.67,1802.73,1918.83,2026.95,2128.88,2027.84,1496.2,1055.79,947.715,842.355,670.1,598.382,585.647,522.481,452.42,386.23,315.138,251.415,89.3616,0.0,0.0,49.1803,121.576,236.188,492.577,853.325,1088.09,1399.55,1555.33,1319.64,967.072,702.101,621.99,515.997,383.672,324.731,272.128,244.748,176.621,93.8944,29.9958,0.0,0.0,0.0,0.0,0.0,0.0,0.0,0.0,0.0,0.0,0.0,0.0,0.0,0.0,0.0,13.1837,113.329,175.328,192.892,214.694,272.573,353.841,461.084,541.571,570.29,426.731,319.24,282.881,135.503,0.0,0.0,0.0,0.0,0.0,0.0,0.0,0.0,154.801,325.144,489.999,609.281,632.625,595.367,567.459,494.855,396.894,329.098,310.0,329.098,284.017,234.666,358.069,569.742,692.696,713.728,672.063,644.705,638.404,615.47,549.341,464.811,377.722,297.432,404.21,609.552,719.771,689.468,605.479,492.114,407.276,414.88,447.943,470.962,334.667,281.169,469.326,563.521,648.288,749.274,786.086,831.971,951.739,1174.73,1403.91,1550.1,1552.51,1395.0,1945.52,2248.18,2168.02,1748.0,1366.86,942.581,665.15,531.798,443.526,389.888,310.595,388.548,460.702,491.332,547.24,584.504,578.227,569.606,561.817,576.934,623.961,736.79,830.5,979.842,1569.0,2084.45,1887.01,1702.45,1637.92,1463.52,1343.21,1190.92,990.047,908.798,630.878,845.869,850.496,806.128,774.616,727.591,580.126,423.409,327.176,286.885,284.794,314.625,383.0,506.107,890.188,1715.11,2244.55,1965.41,1545.36,1201.11,1011.13,945.643,898.079,858.01,614.378,967.84,878.38,596.784,402.763,290.867,190.541,105.581,42.1101,2.07583,0.0,0.0,40.7858,158.625,420.974,1006.02,1886.67,2156.17,1828.13,1529.45,1277.34,1005.91,855.503,798.94,495.779,764.9,778.17,554.552,368.553,236.42,107.291,0.0,0.0,0.0,0.0,0.0,0.0,0.0,0.0,33.3149,287.789,600.835,839.419,850.166,725.328,508.906,310.527,191.627,60.6937,0.0,0.0,0.0,0.0,0.0,0.0,30.0587,165.564,305.239,477.719,725.817,899.542,1019.96,1315.81,1334.87,1135.22,901.842,764.9,721.417,610.631,462.128,370.688,353.665,231.184,150.966,0.0,0.0,0.0,0.0,0.0,0.0,0.0,0.0,0.0,0.0,0.0,135.84,643.258,1161.92,1296.89,1026.97,740.139,470.364,376.029,475.076,509.966,472.792,399.797,510.186,522.367,289.492,127.7,38.4456,0.0,0.0,0.0,0.0,0.0,0.0,0.0,174.849,550.019,643.035,586.272,599.77,566.131,393.398,251.452,175.959,131.941,16.1093,0.0,0.0,0.0,0.0,0.0,55.8983,336.179,645.641,957.752,1144.17,1259.25,1461</t>
  </si>
  <si>
    <t>Average Turbine Price 2022$/kW</t>
  </si>
  <si>
    <t>Year</t>
  </si>
  <si>
    <t>Average 2005-2022</t>
  </si>
  <si>
    <t>Yearly reduction</t>
  </si>
  <si>
    <t>5 year reduction</t>
  </si>
  <si>
    <t>Average 2009-2022</t>
  </si>
  <si>
    <t>Forecast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</si>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</sst>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yyyy;@"/>
    <numFmt numFmtId="165" formatCode="0.0"/>
  </numFmts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/>
    <xf numFmtId="165" fontId="0" fillId="0" borderId="0" xfId="0" applyNumberFormat="1"/>
    <xf numFmtId="0" fontId="4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Enercon E44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Extras1!$B$5:$M$5</c:f>
              <c:numCache>
                <c:formatCode>General</c:formatCode>
                <c:ptCount val="12"/>
                <c:pt idx="0">
                  <c:v>58213.1</c:v>
                </c:pt>
                <c:pt idx="1">
                  <c:v>29851.5</c:v>
                </c:pt>
                <c:pt idx="2">
                  <c:v>47363.7</c:v>
                </c:pt>
                <c:pt idx="3">
                  <c:v>24586.2</c:v>
                </c:pt>
                <c:pt idx="4">
                  <c:v>30374.7</c:v>
                </c:pt>
                <c:pt idx="5">
                  <c:v>20772.2</c:v>
                </c:pt>
                <c:pt idx="6">
                  <c:v>32080.9</c:v>
                </c:pt>
                <c:pt idx="7">
                  <c:v>42815.1</c:v>
                </c:pt>
                <c:pt idx="8">
                  <c:v>30324.2</c:v>
                </c:pt>
                <c:pt idx="9">
                  <c:v>19903</c:v>
                </c:pt>
                <c:pt idx="10">
                  <c:v>17792.8</c:v>
                </c:pt>
                <c:pt idx="11">
                  <c:v>35793.300000000003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6-F048-A4CA-390AA9916D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Extras1!$B$6:$M$6</c:f>
              <c:numCache>
                <c:formatCode>General</c:formatCode>
                <c:ptCount val="12"/>
                <c:pt idx="0">
                  <c:v>29698.2</c:v>
                </c:pt>
                <c:pt idx="1">
                  <c:v>58776</c:v>
                </c:pt>
                <c:pt idx="2">
                  <c:v>47030.1</c:v>
                </c:pt>
                <c:pt idx="3">
                  <c:v>43972.4</c:v>
                </c:pt>
                <c:pt idx="4">
                  <c:v>26855.7</c:v>
                </c:pt>
                <c:pt idx="5">
                  <c:v>18566.3</c:v>
                </c:pt>
                <c:pt idx="6">
                  <c:v>34970.699999999997</c:v>
                </c:pt>
                <c:pt idx="7">
                  <c:v>36452.400000000001</c:v>
                </c:pt>
                <c:pt idx="8">
                  <c:v>29431.9</c:v>
                </c:pt>
                <c:pt idx="9">
                  <c:v>20012.099999999999</c:v>
                </c:pt>
                <c:pt idx="10">
                  <c:v>22257.8</c:v>
                </c:pt>
                <c:pt idx="11">
                  <c:v>21864.6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C6-F048-A4CA-390AA9916DE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Extras1!$B$7:$M$7</c:f>
              <c:numCache>
                <c:formatCode>General</c:formatCode>
                <c:ptCount val="12"/>
                <c:pt idx="0">
                  <c:v>61460.5</c:v>
                </c:pt>
                <c:pt idx="1">
                  <c:v>41734.400000000001</c:v>
                </c:pt>
                <c:pt idx="2">
                  <c:v>43608.7</c:v>
                </c:pt>
                <c:pt idx="3">
                  <c:v>62188.5</c:v>
                </c:pt>
                <c:pt idx="4">
                  <c:v>38534.199999999997</c:v>
                </c:pt>
                <c:pt idx="5">
                  <c:v>17459.2</c:v>
                </c:pt>
                <c:pt idx="6">
                  <c:v>40724.1</c:v>
                </c:pt>
                <c:pt idx="7">
                  <c:v>32709.1</c:v>
                </c:pt>
                <c:pt idx="8">
                  <c:v>30089.5</c:v>
                </c:pt>
                <c:pt idx="9">
                  <c:v>21961.200000000001</c:v>
                </c:pt>
                <c:pt idx="10">
                  <c:v>47962</c:v>
                </c:pt>
                <c:pt idx="11">
                  <c:v>38158.199999999997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C6-F048-A4CA-390AA9916DE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Extras1!$B$8:$M$8</c:f>
              <c:numCache>
                <c:formatCode>General</c:formatCode>
                <c:ptCount val="12"/>
                <c:pt idx="0">
                  <c:v>40182.1</c:v>
                </c:pt>
                <c:pt idx="1">
                  <c:v>46864.7</c:v>
                </c:pt>
                <c:pt idx="2">
                  <c:v>38243.5</c:v>
                </c:pt>
                <c:pt idx="3">
                  <c:v>57658.5</c:v>
                </c:pt>
                <c:pt idx="4">
                  <c:v>27690</c:v>
                </c:pt>
                <c:pt idx="5">
                  <c:v>36210</c:v>
                </c:pt>
                <c:pt idx="6">
                  <c:v>40158.300000000003</c:v>
                </c:pt>
                <c:pt idx="7">
                  <c:v>29635.599999999999</c:v>
                </c:pt>
                <c:pt idx="8">
                  <c:v>28473.5</c:v>
                </c:pt>
                <c:pt idx="9">
                  <c:v>31829.5</c:v>
                </c:pt>
                <c:pt idx="10">
                  <c:v>32139.4</c:v>
                </c:pt>
                <c:pt idx="11">
                  <c:v>18174.599999999999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C6-F048-A4CA-390AA991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99775"/>
        <c:axId val="3126383"/>
      </c:lineChart>
      <c:catAx>
        <c:axId val="6809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126383"/>
        <c:crosses val="autoZero"/>
        <c:auto val="1"/>
        <c:lblAlgn val="ctr"/>
        <c:lblOffset val="100"/>
        <c:noMultiLvlLbl val="0"/>
      </c:catAx>
      <c:valAx>
        <c:axId val="312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680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Enercon E70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Extras1!$B$25:$M$25</c:f>
              <c:numCache>
                <c:formatCode>General</c:formatCode>
                <c:ptCount val="12"/>
                <c:pt idx="0">
                  <c:v>201149</c:v>
                </c:pt>
                <c:pt idx="1">
                  <c:v>103775</c:v>
                </c:pt>
                <c:pt idx="2">
                  <c:v>167729</c:v>
                </c:pt>
                <c:pt idx="3">
                  <c:v>86776.8</c:v>
                </c:pt>
                <c:pt idx="4">
                  <c:v>107210</c:v>
                </c:pt>
                <c:pt idx="5">
                  <c:v>73271.7</c:v>
                </c:pt>
                <c:pt idx="6">
                  <c:v>114026</c:v>
                </c:pt>
                <c:pt idx="7">
                  <c:v>153022</c:v>
                </c:pt>
                <c:pt idx="8">
                  <c:v>107783</c:v>
                </c:pt>
                <c:pt idx="9">
                  <c:v>68991.3</c:v>
                </c:pt>
                <c:pt idx="10">
                  <c:v>61452.1</c:v>
                </c:pt>
                <c:pt idx="11">
                  <c:v>118982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3-2748-A153-DFAA666BC2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Extras1!$B$26:$M$26</c:f>
              <c:numCache>
                <c:formatCode>General</c:formatCode>
                <c:ptCount val="12"/>
                <c:pt idx="0">
                  <c:v>104743</c:v>
                </c:pt>
                <c:pt idx="1">
                  <c:v>198055</c:v>
                </c:pt>
                <c:pt idx="2">
                  <c:v>163805</c:v>
                </c:pt>
                <c:pt idx="3">
                  <c:v>152167</c:v>
                </c:pt>
                <c:pt idx="4">
                  <c:v>93942</c:v>
                </c:pt>
                <c:pt idx="5">
                  <c:v>64699.199999999997</c:v>
                </c:pt>
                <c:pt idx="6">
                  <c:v>124433</c:v>
                </c:pt>
                <c:pt idx="7">
                  <c:v>130143</c:v>
                </c:pt>
                <c:pt idx="8">
                  <c:v>104540</c:v>
                </c:pt>
                <c:pt idx="9">
                  <c:v>70244.399999999994</c:v>
                </c:pt>
                <c:pt idx="10">
                  <c:v>78793.3</c:v>
                </c:pt>
                <c:pt idx="11">
                  <c:v>77136.5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3-2748-A153-DFAA666BC2A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Extras1!$B$27:$M$27</c:f>
              <c:numCache>
                <c:formatCode>General</c:formatCode>
                <c:ptCount val="12"/>
                <c:pt idx="0">
                  <c:v>209783</c:v>
                </c:pt>
                <c:pt idx="1">
                  <c:v>147783</c:v>
                </c:pt>
                <c:pt idx="2">
                  <c:v>151833</c:v>
                </c:pt>
                <c:pt idx="3">
                  <c:v>217978</c:v>
                </c:pt>
                <c:pt idx="4">
                  <c:v>137186</c:v>
                </c:pt>
                <c:pt idx="5">
                  <c:v>61098.2</c:v>
                </c:pt>
                <c:pt idx="6">
                  <c:v>145141</c:v>
                </c:pt>
                <c:pt idx="7">
                  <c:v>116259</c:v>
                </c:pt>
                <c:pt idx="8">
                  <c:v>106672</c:v>
                </c:pt>
                <c:pt idx="9">
                  <c:v>76975.399999999994</c:v>
                </c:pt>
                <c:pt idx="10">
                  <c:v>156134</c:v>
                </c:pt>
                <c:pt idx="11">
                  <c:v>130951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3-2748-A153-DFAA666BC2A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Extras1!$B$28:$M$28</c:f>
              <c:numCache>
                <c:formatCode>General</c:formatCode>
                <c:ptCount val="12"/>
                <c:pt idx="0">
                  <c:v>142126</c:v>
                </c:pt>
                <c:pt idx="1">
                  <c:v>164232</c:v>
                </c:pt>
                <c:pt idx="2">
                  <c:v>135312</c:v>
                </c:pt>
                <c:pt idx="3">
                  <c:v>197415</c:v>
                </c:pt>
                <c:pt idx="4">
                  <c:v>98053.9</c:v>
                </c:pt>
                <c:pt idx="5">
                  <c:v>128528</c:v>
                </c:pt>
                <c:pt idx="6">
                  <c:v>143074</c:v>
                </c:pt>
                <c:pt idx="7">
                  <c:v>105049</c:v>
                </c:pt>
                <c:pt idx="8">
                  <c:v>100907</c:v>
                </c:pt>
                <c:pt idx="9">
                  <c:v>111237</c:v>
                </c:pt>
                <c:pt idx="10">
                  <c:v>114073</c:v>
                </c:pt>
                <c:pt idx="11">
                  <c:v>64092.3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A3-2748-A153-DFAA666B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9679"/>
        <c:axId val="67526847"/>
      </c:lineChart>
      <c:catAx>
        <c:axId val="3958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67526847"/>
        <c:crosses val="autoZero"/>
        <c:auto val="1"/>
        <c:lblAlgn val="ctr"/>
        <c:lblOffset val="100"/>
        <c:noMultiLvlLbl val="0"/>
      </c:catAx>
      <c:valAx>
        <c:axId val="675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958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Enercon E82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Extras1!$B$15:$M$15</c:f>
              <c:numCache>
                <c:formatCode>General</c:formatCode>
                <c:ptCount val="12"/>
                <c:pt idx="0">
                  <c:v>254469</c:v>
                </c:pt>
                <c:pt idx="1">
                  <c:v>134252</c:v>
                </c:pt>
                <c:pt idx="2">
                  <c:v>216628</c:v>
                </c:pt>
                <c:pt idx="3">
                  <c:v>116100</c:v>
                </c:pt>
                <c:pt idx="4">
                  <c:v>142540</c:v>
                </c:pt>
                <c:pt idx="5">
                  <c:v>98494.3</c:v>
                </c:pt>
                <c:pt idx="6">
                  <c:v>152383</c:v>
                </c:pt>
                <c:pt idx="7">
                  <c:v>203449</c:v>
                </c:pt>
                <c:pt idx="8">
                  <c:v>143642</c:v>
                </c:pt>
                <c:pt idx="9">
                  <c:v>90477.7</c:v>
                </c:pt>
                <c:pt idx="10">
                  <c:v>80942.5</c:v>
                </c:pt>
                <c:pt idx="11">
                  <c:v>144178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5-9443-AF3B-84E1E393E8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Extras1!$B$16:$M$16</c:f>
              <c:numCache>
                <c:formatCode>General</c:formatCode>
                <c:ptCount val="12"/>
                <c:pt idx="0">
                  <c:v>138362</c:v>
                </c:pt>
                <c:pt idx="1">
                  <c:v>243636</c:v>
                </c:pt>
                <c:pt idx="2">
                  <c:v>210091</c:v>
                </c:pt>
                <c:pt idx="3">
                  <c:v>190517</c:v>
                </c:pt>
                <c:pt idx="4">
                  <c:v>123737</c:v>
                </c:pt>
                <c:pt idx="5">
                  <c:v>87677.8</c:v>
                </c:pt>
                <c:pt idx="6">
                  <c:v>165838</c:v>
                </c:pt>
                <c:pt idx="7">
                  <c:v>173055</c:v>
                </c:pt>
                <c:pt idx="8">
                  <c:v>139569</c:v>
                </c:pt>
                <c:pt idx="9">
                  <c:v>94821</c:v>
                </c:pt>
                <c:pt idx="10">
                  <c:v>105610</c:v>
                </c:pt>
                <c:pt idx="11">
                  <c:v>103665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5-9443-AF3B-84E1E393E82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Extras1!$B$17:$M$17</c:f>
              <c:numCache>
                <c:formatCode>General</c:formatCode>
                <c:ptCount val="12"/>
                <c:pt idx="0">
                  <c:v>258873</c:v>
                </c:pt>
                <c:pt idx="1">
                  <c:v>192110</c:v>
                </c:pt>
                <c:pt idx="2">
                  <c:v>193542</c:v>
                </c:pt>
                <c:pt idx="3">
                  <c:v>277014</c:v>
                </c:pt>
                <c:pt idx="4">
                  <c:v>182213</c:v>
                </c:pt>
                <c:pt idx="5">
                  <c:v>82700.600000000006</c:v>
                </c:pt>
                <c:pt idx="6">
                  <c:v>193307</c:v>
                </c:pt>
                <c:pt idx="7">
                  <c:v>155321</c:v>
                </c:pt>
                <c:pt idx="8">
                  <c:v>142758</c:v>
                </c:pt>
                <c:pt idx="9">
                  <c:v>103918</c:v>
                </c:pt>
                <c:pt idx="10">
                  <c:v>185844</c:v>
                </c:pt>
                <c:pt idx="11">
                  <c:v>166807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5-9443-AF3B-84E1E393E82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Extras1!$B$18:$M$18</c:f>
              <c:numCache>
                <c:formatCode>General</c:formatCode>
                <c:ptCount val="12"/>
                <c:pt idx="0">
                  <c:v>186365</c:v>
                </c:pt>
                <c:pt idx="1">
                  <c:v>209216</c:v>
                </c:pt>
                <c:pt idx="2">
                  <c:v>178413</c:v>
                </c:pt>
                <c:pt idx="3">
                  <c:v>246093</c:v>
                </c:pt>
                <c:pt idx="4">
                  <c:v>131009</c:v>
                </c:pt>
                <c:pt idx="5">
                  <c:v>169656</c:v>
                </c:pt>
                <c:pt idx="6">
                  <c:v>190368</c:v>
                </c:pt>
                <c:pt idx="7">
                  <c:v>140461</c:v>
                </c:pt>
                <c:pt idx="8">
                  <c:v>134582</c:v>
                </c:pt>
                <c:pt idx="9">
                  <c:v>144944</c:v>
                </c:pt>
                <c:pt idx="10">
                  <c:v>151946</c:v>
                </c:pt>
                <c:pt idx="11">
                  <c:v>86402.9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C5-9443-AF3B-84E1E393E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81135"/>
        <c:axId val="7889455"/>
      </c:lineChart>
      <c:catAx>
        <c:axId val="160381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889455"/>
        <c:crosses val="autoZero"/>
        <c:auto val="1"/>
        <c:lblAlgn val="ctr"/>
        <c:lblOffset val="100"/>
        <c:noMultiLvlLbl val="0"/>
      </c:catAx>
      <c:valAx>
        <c:axId val="78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6038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Vestas V90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Extras1!$B$35:$M$35</c:f>
              <c:numCache>
                <c:formatCode>General</c:formatCode>
                <c:ptCount val="12"/>
                <c:pt idx="0">
                  <c:v>260503</c:v>
                </c:pt>
                <c:pt idx="1">
                  <c:v>133799</c:v>
                </c:pt>
                <c:pt idx="2">
                  <c:v>214294</c:v>
                </c:pt>
                <c:pt idx="3">
                  <c:v>110581</c:v>
                </c:pt>
                <c:pt idx="4">
                  <c:v>138208</c:v>
                </c:pt>
                <c:pt idx="5">
                  <c:v>92585.4</c:v>
                </c:pt>
                <c:pt idx="6">
                  <c:v>146905</c:v>
                </c:pt>
                <c:pt idx="7">
                  <c:v>198173</c:v>
                </c:pt>
                <c:pt idx="8">
                  <c:v>139055</c:v>
                </c:pt>
                <c:pt idx="9">
                  <c:v>86707.199999999997</c:v>
                </c:pt>
                <c:pt idx="10">
                  <c:v>77532.399999999994</c:v>
                </c:pt>
                <c:pt idx="11">
                  <c:v>151611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D-7C4E-B3B6-789C3031219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Extras1!$B$36:$M$36</c:f>
              <c:numCache>
                <c:formatCode>General</c:formatCode>
                <c:ptCount val="12"/>
                <c:pt idx="0">
                  <c:v>134177</c:v>
                </c:pt>
                <c:pt idx="1">
                  <c:v>254298</c:v>
                </c:pt>
                <c:pt idx="2">
                  <c:v>210611</c:v>
                </c:pt>
                <c:pt idx="3">
                  <c:v>193940</c:v>
                </c:pt>
                <c:pt idx="4">
                  <c:v>120125</c:v>
                </c:pt>
                <c:pt idx="5">
                  <c:v>82383</c:v>
                </c:pt>
                <c:pt idx="6">
                  <c:v>160630</c:v>
                </c:pt>
                <c:pt idx="7">
                  <c:v>167839</c:v>
                </c:pt>
                <c:pt idx="8">
                  <c:v>134646</c:v>
                </c:pt>
                <c:pt idx="9">
                  <c:v>89961.4</c:v>
                </c:pt>
                <c:pt idx="10">
                  <c:v>100065</c:v>
                </c:pt>
                <c:pt idx="11">
                  <c:v>99186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D-7C4E-B3B6-789C3031219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Extras1!$B$37:$M$37</c:f>
              <c:numCache>
                <c:formatCode>General</c:formatCode>
                <c:ptCount val="12"/>
                <c:pt idx="0">
                  <c:v>269400</c:v>
                </c:pt>
                <c:pt idx="1">
                  <c:v>189662</c:v>
                </c:pt>
                <c:pt idx="2">
                  <c:v>194892</c:v>
                </c:pt>
                <c:pt idx="3">
                  <c:v>279007</c:v>
                </c:pt>
                <c:pt idx="4">
                  <c:v>176894</c:v>
                </c:pt>
                <c:pt idx="5">
                  <c:v>77634.7</c:v>
                </c:pt>
                <c:pt idx="6">
                  <c:v>188225</c:v>
                </c:pt>
                <c:pt idx="7">
                  <c:v>150102</c:v>
                </c:pt>
                <c:pt idx="8">
                  <c:v>138339</c:v>
                </c:pt>
                <c:pt idx="9">
                  <c:v>99522.2</c:v>
                </c:pt>
                <c:pt idx="10">
                  <c:v>199695</c:v>
                </c:pt>
                <c:pt idx="11">
                  <c:v>169814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ED-7C4E-B3B6-789C3031219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Extras1!$B$38:$M$38</c:f>
              <c:numCache>
                <c:formatCode>General</c:formatCode>
                <c:ptCount val="12"/>
                <c:pt idx="0">
                  <c:v>182741</c:v>
                </c:pt>
                <c:pt idx="1">
                  <c:v>210249</c:v>
                </c:pt>
                <c:pt idx="2">
                  <c:v>174389</c:v>
                </c:pt>
                <c:pt idx="3">
                  <c:v>253403</c:v>
                </c:pt>
                <c:pt idx="4">
                  <c:v>125244</c:v>
                </c:pt>
                <c:pt idx="5">
                  <c:v>165515</c:v>
                </c:pt>
                <c:pt idx="6">
                  <c:v>185164</c:v>
                </c:pt>
                <c:pt idx="7">
                  <c:v>135261</c:v>
                </c:pt>
                <c:pt idx="8">
                  <c:v>129289</c:v>
                </c:pt>
                <c:pt idx="9">
                  <c:v>142064</c:v>
                </c:pt>
                <c:pt idx="10">
                  <c:v>147227</c:v>
                </c:pt>
                <c:pt idx="11">
                  <c:v>80377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ED-7C4E-B3B6-789C30312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040928"/>
        <c:axId val="159839311"/>
      </c:lineChart>
      <c:catAx>
        <c:axId val="185004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59839311"/>
        <c:crosses val="autoZero"/>
        <c:auto val="1"/>
        <c:lblAlgn val="ctr"/>
        <c:lblOffset val="100"/>
        <c:noMultiLvlLbl val="0"/>
      </c:catAx>
      <c:valAx>
        <c:axId val="1598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500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Vestas V82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Extras1!$B$45:$M$45</c:f>
              <c:numCache>
                <c:formatCode>General</c:formatCode>
                <c:ptCount val="12"/>
                <c:pt idx="0">
                  <c:v>271036</c:v>
                </c:pt>
                <c:pt idx="1">
                  <c:v>152784</c:v>
                </c:pt>
                <c:pt idx="2">
                  <c:v>224854</c:v>
                </c:pt>
                <c:pt idx="3">
                  <c:v>130232</c:v>
                </c:pt>
                <c:pt idx="4">
                  <c:v>161677</c:v>
                </c:pt>
                <c:pt idx="5">
                  <c:v>114249</c:v>
                </c:pt>
                <c:pt idx="6">
                  <c:v>180063</c:v>
                </c:pt>
                <c:pt idx="7">
                  <c:v>239270</c:v>
                </c:pt>
                <c:pt idx="8">
                  <c:v>168139</c:v>
                </c:pt>
                <c:pt idx="9">
                  <c:v>96411.8</c:v>
                </c:pt>
                <c:pt idx="10">
                  <c:v>86939.3</c:v>
                </c:pt>
                <c:pt idx="11">
                  <c:v>149090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9-9744-970B-BE589AB3163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Extras1!$B$46:$M$46</c:f>
              <c:numCache>
                <c:formatCode>General</c:formatCode>
                <c:ptCount val="12"/>
                <c:pt idx="0">
                  <c:v>157318</c:v>
                </c:pt>
                <c:pt idx="1">
                  <c:v>250550</c:v>
                </c:pt>
                <c:pt idx="2">
                  <c:v>229720</c:v>
                </c:pt>
                <c:pt idx="3">
                  <c:v>194645</c:v>
                </c:pt>
                <c:pt idx="4">
                  <c:v>139715</c:v>
                </c:pt>
                <c:pt idx="5">
                  <c:v>103376</c:v>
                </c:pt>
                <c:pt idx="6">
                  <c:v>196883</c:v>
                </c:pt>
                <c:pt idx="7">
                  <c:v>192120</c:v>
                </c:pt>
                <c:pt idx="8">
                  <c:v>165238</c:v>
                </c:pt>
                <c:pt idx="9">
                  <c:v>108728</c:v>
                </c:pt>
                <c:pt idx="10">
                  <c:v>119719</c:v>
                </c:pt>
                <c:pt idx="11">
                  <c:v>119061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9-9744-970B-BE589AB3163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Extras1!$B$47:$M$47</c:f>
              <c:numCache>
                <c:formatCode>General</c:formatCode>
                <c:ptCount val="12"/>
                <c:pt idx="0">
                  <c:v>264190</c:v>
                </c:pt>
                <c:pt idx="1">
                  <c:v>201472</c:v>
                </c:pt>
                <c:pt idx="2">
                  <c:v>201634</c:v>
                </c:pt>
                <c:pt idx="3">
                  <c:v>288682</c:v>
                </c:pt>
                <c:pt idx="4">
                  <c:v>206388</c:v>
                </c:pt>
                <c:pt idx="5">
                  <c:v>96533.8</c:v>
                </c:pt>
                <c:pt idx="6">
                  <c:v>226339</c:v>
                </c:pt>
                <c:pt idx="7">
                  <c:v>180126</c:v>
                </c:pt>
                <c:pt idx="8">
                  <c:v>170906</c:v>
                </c:pt>
                <c:pt idx="9">
                  <c:v>124242</c:v>
                </c:pt>
                <c:pt idx="10">
                  <c:v>184203</c:v>
                </c:pt>
                <c:pt idx="11">
                  <c:v>193407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9-9744-970B-BE589AB3163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Extras1!$B$48:$M$48</c:f>
              <c:numCache>
                <c:formatCode>General</c:formatCode>
                <c:ptCount val="12"/>
                <c:pt idx="0">
                  <c:v>206355</c:v>
                </c:pt>
                <c:pt idx="1">
                  <c:v>213574</c:v>
                </c:pt>
                <c:pt idx="2">
                  <c:v>191377</c:v>
                </c:pt>
                <c:pt idx="3">
                  <c:v>251801</c:v>
                </c:pt>
                <c:pt idx="4">
                  <c:v>150129</c:v>
                </c:pt>
                <c:pt idx="5">
                  <c:v>192166</c:v>
                </c:pt>
                <c:pt idx="6">
                  <c:v>227799</c:v>
                </c:pt>
                <c:pt idx="7">
                  <c:v>163825</c:v>
                </c:pt>
                <c:pt idx="8">
                  <c:v>152360</c:v>
                </c:pt>
                <c:pt idx="9">
                  <c:v>166158</c:v>
                </c:pt>
                <c:pt idx="10">
                  <c:v>170283</c:v>
                </c:pt>
                <c:pt idx="11">
                  <c:v>95221.1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9-9744-970B-BE589AB31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529520"/>
        <c:axId val="55737711"/>
      </c:lineChart>
      <c:catAx>
        <c:axId val="209852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5737711"/>
        <c:crosses val="autoZero"/>
        <c:auto val="1"/>
        <c:lblAlgn val="ctr"/>
        <c:lblOffset val="100"/>
        <c:noMultiLvlLbl val="0"/>
      </c:catAx>
      <c:valAx>
        <c:axId val="5573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9852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Vestas V52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Extras1!$B$55:$M$55</c:f>
              <c:numCache>
                <c:formatCode>General</c:formatCode>
                <c:ptCount val="12"/>
                <c:pt idx="0">
                  <c:v>49312.2</c:v>
                </c:pt>
                <c:pt idx="1">
                  <c:v>23404.1</c:v>
                </c:pt>
                <c:pt idx="2">
                  <c:v>39946</c:v>
                </c:pt>
                <c:pt idx="3">
                  <c:v>18311.400000000001</c:v>
                </c:pt>
                <c:pt idx="4">
                  <c:v>23761.1</c:v>
                </c:pt>
                <c:pt idx="5">
                  <c:v>15202.6</c:v>
                </c:pt>
                <c:pt idx="6">
                  <c:v>25321.4</c:v>
                </c:pt>
                <c:pt idx="7">
                  <c:v>35632.800000000003</c:v>
                </c:pt>
                <c:pt idx="8">
                  <c:v>24615.9</c:v>
                </c:pt>
                <c:pt idx="9">
                  <c:v>13669.3</c:v>
                </c:pt>
                <c:pt idx="10">
                  <c:v>12335.9</c:v>
                </c:pt>
                <c:pt idx="11">
                  <c:v>29319.4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7-204F-AA4D-9CF4F565F3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Extras1!$B$56:$M$56</c:f>
              <c:numCache>
                <c:formatCode>General</c:formatCode>
                <c:ptCount val="12"/>
                <c:pt idx="0">
                  <c:v>23352</c:v>
                </c:pt>
                <c:pt idx="1">
                  <c:v>50848.1</c:v>
                </c:pt>
                <c:pt idx="2">
                  <c:v>39396.1</c:v>
                </c:pt>
                <c:pt idx="3">
                  <c:v>35950.699999999997</c:v>
                </c:pt>
                <c:pt idx="4">
                  <c:v>20537.599999999999</c:v>
                </c:pt>
                <c:pt idx="5">
                  <c:v>12415.3</c:v>
                </c:pt>
                <c:pt idx="6">
                  <c:v>28353.9</c:v>
                </c:pt>
                <c:pt idx="7">
                  <c:v>30330</c:v>
                </c:pt>
                <c:pt idx="8">
                  <c:v>23424</c:v>
                </c:pt>
                <c:pt idx="9">
                  <c:v>14175.1</c:v>
                </c:pt>
                <c:pt idx="10">
                  <c:v>16883.2</c:v>
                </c:pt>
                <c:pt idx="11">
                  <c:v>16096.1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7-204F-AA4D-9CF4F565F3B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Extras1!$B$57:$M$57</c:f>
              <c:numCache>
                <c:formatCode>General</c:formatCode>
                <c:ptCount val="12"/>
                <c:pt idx="0">
                  <c:v>52287.8</c:v>
                </c:pt>
                <c:pt idx="1">
                  <c:v>35336.199999999997</c:v>
                </c:pt>
                <c:pt idx="2">
                  <c:v>36016.699999999997</c:v>
                </c:pt>
                <c:pt idx="3">
                  <c:v>53529.3</c:v>
                </c:pt>
                <c:pt idx="4">
                  <c:v>31376.6</c:v>
                </c:pt>
                <c:pt idx="5">
                  <c:v>11852.9</c:v>
                </c:pt>
                <c:pt idx="6">
                  <c:v>33450.1</c:v>
                </c:pt>
                <c:pt idx="7">
                  <c:v>26099.8</c:v>
                </c:pt>
                <c:pt idx="8">
                  <c:v>23583.8</c:v>
                </c:pt>
                <c:pt idx="9">
                  <c:v>15797.7</c:v>
                </c:pt>
                <c:pt idx="10">
                  <c:v>40489.800000000003</c:v>
                </c:pt>
                <c:pt idx="11">
                  <c:v>30243.3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7-204F-AA4D-9CF4F565F3B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Extras1!$B$58:$M$58</c:f>
              <c:numCache>
                <c:formatCode>General</c:formatCode>
                <c:ptCount val="12"/>
                <c:pt idx="0">
                  <c:v>32352.7</c:v>
                </c:pt>
                <c:pt idx="1">
                  <c:v>39594.5</c:v>
                </c:pt>
                <c:pt idx="2">
                  <c:v>30521.599999999999</c:v>
                </c:pt>
                <c:pt idx="3">
                  <c:v>49335.1</c:v>
                </c:pt>
                <c:pt idx="4">
                  <c:v>21280.799999999999</c:v>
                </c:pt>
                <c:pt idx="5">
                  <c:v>29572</c:v>
                </c:pt>
                <c:pt idx="6">
                  <c:v>33068.9</c:v>
                </c:pt>
                <c:pt idx="7">
                  <c:v>23204.2</c:v>
                </c:pt>
                <c:pt idx="8">
                  <c:v>22313.8</c:v>
                </c:pt>
                <c:pt idx="9">
                  <c:v>25706.2</c:v>
                </c:pt>
                <c:pt idx="10">
                  <c:v>25532.1</c:v>
                </c:pt>
                <c:pt idx="11">
                  <c:v>12704.9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D7-204F-AA4D-9CF4F565F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44927"/>
        <c:axId val="56323791"/>
      </c:lineChart>
      <c:catAx>
        <c:axId val="5614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323791"/>
        <c:crosses val="autoZero"/>
        <c:auto val="1"/>
        <c:lblAlgn val="ctr"/>
        <c:lblOffset val="100"/>
        <c:noMultiLvlLbl val="0"/>
      </c:catAx>
      <c:valAx>
        <c:axId val="563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14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Extras1!$C$136:$C$150</c:f>
              <c:numCache>
                <c:formatCode>0.0</c:formatCode>
                <c:ptCount val="15"/>
                <c:pt idx="0">
                  <c:v>71.740857299243771</c:v>
                </c:pt>
                <c:pt idx="1">
                  <c:v>69.888415432558389</c:v>
                </c:pt>
                <c:pt idx="2">
                  <c:v>62.93535169148111</c:v>
                </c:pt>
                <c:pt idx="3">
                  <c:v>66.433836808366976</c:v>
                </c:pt>
                <c:pt idx="4">
                  <c:v>45.124106043118374</c:v>
                </c:pt>
                <c:pt idx="5">
                  <c:v>63.346117847874872</c:v>
                </c:pt>
                <c:pt idx="6">
                  <c:v>35.287203699362649</c:v>
                </c:pt>
                <c:pt idx="7">
                  <c:v>25.69618952009867</c:v>
                </c:pt>
                <c:pt idx="8">
                  <c:v>31.300854676277297</c:v>
                </c:pt>
                <c:pt idx="9">
                  <c:v>24.553162386815192</c:v>
                </c:pt>
                <c:pt idx="10">
                  <c:v>21.272921972468328</c:v>
                </c:pt>
                <c:pt idx="11">
                  <c:v>18.366067363877619</c:v>
                </c:pt>
                <c:pt idx="12">
                  <c:v>20.000293309725464</c:v>
                </c:pt>
                <c:pt idx="13">
                  <c:v>16.160397699393901</c:v>
                </c:pt>
                <c:pt idx="14">
                  <c:v>15.847940714652479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2-1A4E-B6EC-772725F9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549008"/>
        <c:axId val="1900076448"/>
      </c:scatterChart>
      <c:valAx>
        <c:axId val="19005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00076448"/>
        <c:crosses val="autoZero"/>
        <c:crossBetween val="midCat"/>
      </c:valAx>
      <c:valAx>
        <c:axId val="19000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005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Extras1!$C$136:$C$158</c:f>
              <c:numCache>
                <c:formatCode>0.0</c:formatCode>
                <c:ptCount val="23"/>
                <c:pt idx="0">
                  <c:v>71.740857299243771</c:v>
                </c:pt>
                <c:pt idx="1">
                  <c:v>69.888415432558389</c:v>
                </c:pt>
                <c:pt idx="2">
                  <c:v>62.93535169148111</c:v>
                </c:pt>
                <c:pt idx="3">
                  <c:v>66.433836808366976</c:v>
                </c:pt>
                <c:pt idx="4">
                  <c:v>45.124106043118374</c:v>
                </c:pt>
                <c:pt idx="5">
                  <c:v>63.346117847874872</c:v>
                </c:pt>
                <c:pt idx="6">
                  <c:v>35.287203699362649</c:v>
                </c:pt>
                <c:pt idx="7">
                  <c:v>25.69618952009867</c:v>
                </c:pt>
                <c:pt idx="8">
                  <c:v>31.300854676277297</c:v>
                </c:pt>
                <c:pt idx="9">
                  <c:v>24.553162386815192</c:v>
                </c:pt>
                <c:pt idx="10">
                  <c:v>21.272921972468328</c:v>
                </c:pt>
                <c:pt idx="11">
                  <c:v>18.366067363877619</c:v>
                </c:pt>
                <c:pt idx="12">
                  <c:v>20.000293309725464</c:v>
                </c:pt>
                <c:pt idx="13">
                  <c:v>16.160397699393901</c:v>
                </c:pt>
                <c:pt idx="14">
                  <c:v>15.847940714652479</c:v>
                </c:pt>
                <c:pt idx="15" formatCode="General">
                  <c:v>14.227560105927731</c:v>
                </c:pt>
                <c:pt idx="16" formatCode="General">
                  <c:v>12.772856121340251</c:v>
                </c:pt>
                <c:pt idx="17" formatCode="General">
                  <c:v>11.466889071759146</c:v>
                </c:pt>
                <c:pt idx="18" formatCode="General">
                  <c:v>10.294451275024008</c:v>
                </c:pt>
                <c:pt idx="19" formatCode="General">
                  <c:v>9.2418899660276885</c:v>
                </c:pt>
                <c:pt idx="20" formatCode="General">
                  <c:v>8.2969483134460784</c:v>
                </c:pt>
                <c:pt idx="21" formatCode="General">
                  <c:v>7.4486226917916856</c:v>
                </c:pt>
                <c:pt idx="22" formatCode="General">
                  <c:v>6.6870345467573449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3-2645-9FC3-A9E47154B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850975"/>
        <c:axId val="1019853247"/>
      </c:scatterChart>
      <c:valAx>
        <c:axId val="101985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19853247"/>
        <c:crosses val="autoZero"/>
        <c:crossBetween val="midCat"/>
      </c:valAx>
      <c:valAx>
        <c:axId val="10198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1985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Extras2!$I$2:$I$27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</c:numCache>
            </c:numRef>
          </c:xVal>
          <c:yVal>
            <c:numRef>
              <c:f>Extras2!$J$2:$J$27</c:f>
              <c:numCache>
                <c:formatCode>General</c:formatCode>
                <c:ptCount val="26"/>
                <c:pt idx="0">
                  <c:v>2084.37</c:v>
                </c:pt>
                <c:pt idx="1">
                  <c:v>2126.31</c:v>
                </c:pt>
                <c:pt idx="2">
                  <c:v>2137.58</c:v>
                </c:pt>
                <c:pt idx="3">
                  <c:v>2260.12</c:v>
                </c:pt>
                <c:pt idx="4">
                  <c:v>2299.9899999999998</c:v>
                </c:pt>
                <c:pt idx="5">
                  <c:v>2173.08</c:v>
                </c:pt>
                <c:pt idx="6">
                  <c:v>2148.79</c:v>
                </c:pt>
                <c:pt idx="7">
                  <c:v>2212.5500000000002</c:v>
                </c:pt>
                <c:pt idx="8">
                  <c:v>2042.08</c:v>
                </c:pt>
                <c:pt idx="9">
                  <c:v>1995.33</c:v>
                </c:pt>
                <c:pt idx="10">
                  <c:v>1839.57</c:v>
                </c:pt>
                <c:pt idx="11">
                  <c:v>1828.81</c:v>
                </c:pt>
                <c:pt idx="12">
                  <c:v>1825.41</c:v>
                </c:pt>
                <c:pt idx="13">
                  <c:v>1740.75</c:v>
                </c:pt>
                <c:pt idx="14">
                  <c:v>1653.1</c:v>
                </c:pt>
                <c:pt idx="15">
                  <c:v>1496.35</c:v>
                </c:pt>
                <c:pt idx="16">
                  <c:v>1418.18</c:v>
                </c:pt>
                <c:pt idx="17">
                  <c:v>1274.19</c:v>
                </c:pt>
                <c:pt idx="18">
                  <c:v>1223.0826720057416</c:v>
                </c:pt>
                <c:pt idx="19">
                  <c:v>1174.0252415736306</c:v>
                </c:pt>
                <c:pt idx="20">
                  <c:v>1126.9354880089018</c:v>
                </c:pt>
                <c:pt idx="21">
                  <c:v>1081.7344884609217</c:v>
                </c:pt>
                <c:pt idx="22">
                  <c:v>1038.3464856477826</c:v>
                </c:pt>
                <c:pt idx="23">
                  <c:v>996.69876088641524</c:v>
                </c:pt>
                <c:pt idx="24">
                  <c:v>956.72151221542197</c:v>
                </c:pt>
                <c:pt idx="25">
                  <c:v>918.34773740636172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4-5D41-A1C3-BF0DCB88C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308879"/>
        <c:axId val="1973310591"/>
      </c:scatterChart>
      <c:valAx>
        <c:axId val="197330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73310591"/>
        <c:crosses val="autoZero"/>
        <c:crossBetween val="midCat"/>
      </c:valAx>
      <c:valAx>
        <c:axId val="19733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7330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2009-2030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Extras2!$I$6:$I$27</c:f>
              <c:numCache>
                <c:formatCode>General</c:formatCode>
                <c:ptCount val="2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</c:numCache>
            </c:numRef>
          </c:xVal>
          <c:yVal>
            <c:numRef>
              <c:f>Extras2!$J$6:$J$27</c:f>
              <c:numCache>
                <c:formatCode>General</c:formatCode>
                <c:ptCount val="22"/>
                <c:pt idx="0">
                  <c:v>2299.9899999999998</c:v>
                </c:pt>
                <c:pt idx="1">
                  <c:v>2173.08</c:v>
                </c:pt>
                <c:pt idx="2">
                  <c:v>2148.79</c:v>
                </c:pt>
                <c:pt idx="3">
                  <c:v>2212.5500000000002</c:v>
                </c:pt>
                <c:pt idx="4">
                  <c:v>2042.08</c:v>
                </c:pt>
                <c:pt idx="5">
                  <c:v>1995.33</c:v>
                </c:pt>
                <c:pt idx="6">
                  <c:v>1839.57</c:v>
                </c:pt>
                <c:pt idx="7">
                  <c:v>1828.81</c:v>
                </c:pt>
                <c:pt idx="8">
                  <c:v>1825.41</c:v>
                </c:pt>
                <c:pt idx="9">
                  <c:v>1740.75</c:v>
                </c:pt>
                <c:pt idx="10">
                  <c:v>1653.1</c:v>
                </c:pt>
                <c:pt idx="11">
                  <c:v>1496.35</c:v>
                </c:pt>
                <c:pt idx="12">
                  <c:v>1418.18</c:v>
                </c:pt>
                <c:pt idx="13">
                  <c:v>1274.19</c:v>
                </c:pt>
                <c:pt idx="14">
                  <c:v>1223.0826720057416</c:v>
                </c:pt>
                <c:pt idx="15">
                  <c:v>1174.0252415736306</c:v>
                </c:pt>
                <c:pt idx="16">
                  <c:v>1126.9354880089018</c:v>
                </c:pt>
                <c:pt idx="17">
                  <c:v>1081.7344884609217</c:v>
                </c:pt>
                <c:pt idx="18">
                  <c:v>1038.3464856477826</c:v>
                </c:pt>
                <c:pt idx="19">
                  <c:v>996.69876088641524</c:v>
                </c:pt>
                <c:pt idx="20">
                  <c:v>956.72151221542197</c:v>
                </c:pt>
                <c:pt idx="21">
                  <c:v>918.34773740636172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8-8444-85FD-B7C27D45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070223"/>
        <c:axId val="2011093551"/>
      </c:scatterChart>
      <c:valAx>
        <c:axId val="2011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11093551"/>
        <c:crosses val="autoZero"/>
        <c:crossBetween val="midCat"/>
      </c:valAx>
      <c:valAx>
        <c:axId val="20110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1107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565150</xdr:colOff>
      <xdr:row>1</xdr:row>
      <xdr:rowOff>158750</xdr:rowOff>
    </xdr:from>
    <xdr:to>
      <xdr:col>22</xdr:col>
      <xdr:colOff>774700</xdr:colOff>
      <xdr:row>18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FE179E-8942-41A3-A8A5-0998B63E4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564117</xdr:colOff>
      <xdr:row>36</xdr:row>
      <xdr:rowOff>75609</xdr:rowOff>
    </xdr:from>
    <xdr:to>
      <xdr:col>23</xdr:col>
      <xdr:colOff>29535</xdr:colOff>
      <xdr:row>51</xdr:row>
      <xdr:rowOff>44303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2573FA-E5D9-C251-5ECC-2FD353757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578884</xdr:colOff>
      <xdr:row>19</xdr:row>
      <xdr:rowOff>119909</xdr:rowOff>
    </xdr:from>
    <xdr:to>
      <xdr:col>22</xdr:col>
      <xdr:colOff>782673</xdr:colOff>
      <xdr:row>35</xdr:row>
      <xdr:rowOff>177207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90355E-4C56-F5D7-4F28-32677FC9F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608419</xdr:colOff>
      <xdr:row>52</xdr:row>
      <xdr:rowOff>46074</xdr:rowOff>
    </xdr:from>
    <xdr:to>
      <xdr:col>23</xdr:col>
      <xdr:colOff>44303</xdr:colOff>
      <xdr:row>72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A69B81-AF0F-8EA1-51B8-92D120D71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608418</xdr:colOff>
      <xdr:row>73</xdr:row>
      <xdr:rowOff>76067</xdr:rowOff>
    </xdr:from>
    <xdr:to>
      <xdr:col>23</xdr:col>
      <xdr:colOff>59069</xdr:colOff>
      <xdr:row>92</xdr:row>
      <xdr:rowOff>133364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4FB557-D08D-24E3-B277-EC0685700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652720</xdr:colOff>
      <xdr:row>94</xdr:row>
      <xdr:rowOff>149907</xdr:rowOff>
    </xdr:from>
    <xdr:to>
      <xdr:col>23</xdr:col>
      <xdr:colOff>59069</xdr:colOff>
      <xdr:row>110</xdr:row>
      <xdr:rowOff>148135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4A255D-7724-B0E9-4261-352E5C73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362238</xdr:colOff>
      <xdr:row>132</xdr:row>
      <xdr:rowOff>129308</xdr:rowOff>
    </xdr:from>
    <xdr:to>
      <xdr:col>10</xdr:col>
      <xdr:colOff>43295</xdr:colOff>
      <xdr:row>149</xdr:row>
      <xdr:rowOff>43295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E0EB97-154A-5879-39FB-ABD735528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847132</xdr:colOff>
      <xdr:row>151</xdr:row>
      <xdr:rowOff>107741</xdr:rowOff>
    </xdr:from>
    <xdr:to>
      <xdr:col>9</xdr:col>
      <xdr:colOff>674077</xdr:colOff>
      <xdr:row>164</xdr:row>
      <xdr:rowOff>129513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3313C-B660-4F9A-5076-DE917E265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3</xdr:row>
      <xdr:rowOff>63500</xdr:rowOff>
    </xdr:from>
    <xdr:to>
      <xdr:col>18</xdr:col>
      <xdr:colOff>444500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864B9-656C-43C5-8FCC-9FBD5A073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603250</xdr:colOff>
      <xdr:row>23</xdr:row>
      <xdr:rowOff>63500</xdr:rowOff>
    </xdr:from>
    <xdr:to>
      <xdr:col>18</xdr:col>
      <xdr:colOff>520700</xdr:colOff>
      <xdr:row>38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5F097-B27A-D6AC-B70F-C63D6C552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4A57-A2BE-384A-8025-E4A1F08C861C}">
  <dimension ref="A1:I14"/>
  <sheetViews>
    <sheetView tabSelected="1" zoomScale="200" zoomScaleNormal="137" workbookViewId="0">
      <selection activeCell="I7" sqref="I7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9" x14ac:dyDescent="0.2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88</v>
      </c>
      <c r="I1" t="s">
        <v>89</v>
      </c>
    </row>
    <row r="2" spans="1:9" x14ac:dyDescent="0.2">
      <c r="A2" t="s">
        <v>1</v>
      </c>
      <c r="B2">
        <v>726928.47499999998</v>
      </c>
      <c r="C2">
        <v>1637586.125</v>
      </c>
      <c r="D2">
        <v>1845279.9750000001</v>
      </c>
      <c r="E2">
        <v>2396467.5</v>
      </c>
      <c r="F2">
        <v>1318057.125</v>
      </c>
      <c r="G2">
        <v>678999.125</v>
      </c>
      <c r="H2">
        <v>2875761</v>
      </c>
      <c r="I2">
        <v>3594701.25</v>
      </c>
    </row>
    <row r="3" spans="1:9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ht="16" customHeight="1" x14ac:dyDescent="0.2">
      <c r="A5" t="s">
        <v>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</row>
    <row r="6" spans="1:9" x14ac:dyDescent="0.2">
      <c r="A6" t="s">
        <v>14</v>
      </c>
      <c r="B6">
        <v>25</v>
      </c>
      <c r="C6">
        <v>25</v>
      </c>
      <c r="D6">
        <v>25</v>
      </c>
      <c r="E6">
        <v>25</v>
      </c>
      <c r="F6">
        <v>25</v>
      </c>
      <c r="G6">
        <v>25</v>
      </c>
      <c r="H6">
        <v>25</v>
      </c>
      <c r="I6">
        <v>25</v>
      </c>
    </row>
    <row r="7" spans="1:9" x14ac:dyDescent="0.2">
      <c r="A7" t="s">
        <v>16</v>
      </c>
      <c r="B7" t="s">
        <v>110</v>
      </c>
      <c r="C7" t="s">
        <v>110</v>
      </c>
      <c r="D7" t="s">
        <v>110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</row>
    <row r="8" spans="1:9" x14ac:dyDescent="0.2">
      <c r="A8" t="s">
        <v>17</v>
      </c>
      <c r="B8">
        <v>1.6E-2</v>
      </c>
      <c r="C8">
        <v>1.6E-2</v>
      </c>
      <c r="D8">
        <v>1.6E-2</v>
      </c>
      <c r="E8">
        <v>1.6E-2</v>
      </c>
      <c r="F8">
        <v>1.6E-2</v>
      </c>
      <c r="G8">
        <v>1.6E-2</v>
      </c>
      <c r="H8">
        <v>1.6E-2</v>
      </c>
      <c r="I8">
        <v>1.6E-2</v>
      </c>
    </row>
    <row r="9" spans="1:9" x14ac:dyDescent="0.2">
      <c r="A9" t="s">
        <v>18</v>
      </c>
      <c r="B9">
        <v>12502.717878087578</v>
      </c>
      <c r="C9">
        <v>28165.463351735754</v>
      </c>
      <c r="D9">
        <v>31737.668459760775</v>
      </c>
      <c r="E9">
        <v>41217.751246442567</v>
      </c>
      <c r="F9">
        <v>22669.763185543412</v>
      </c>
      <c r="G9">
        <v>11678.362853158727</v>
      </c>
      <c r="H9">
        <v>49461.301495731081</v>
      </c>
      <c r="I9">
        <v>61826.626869663851</v>
      </c>
    </row>
    <row r="10" spans="1:9" x14ac:dyDescent="0.2">
      <c r="A10" t="s">
        <v>19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2">
      <c r="A11" t="s">
        <v>20</v>
      </c>
      <c r="B11">
        <f>(1-0.67)/B6</f>
        <v>1.3199999999999998E-2</v>
      </c>
      <c r="C11">
        <f t="shared" ref="C11:H11" si="0">(1-0.67)/C6</f>
        <v>1.3199999999999998E-2</v>
      </c>
      <c r="D11">
        <f t="shared" si="0"/>
        <v>1.3199999999999998E-2</v>
      </c>
      <c r="E11">
        <f t="shared" si="0"/>
        <v>1.3199999999999998E-2</v>
      </c>
      <c r="F11">
        <f t="shared" si="0"/>
        <v>1.3199999999999998E-2</v>
      </c>
      <c r="G11">
        <f t="shared" si="0"/>
        <v>1.3199999999999998E-2</v>
      </c>
      <c r="H11">
        <f t="shared" si="0"/>
        <v>1.3199999999999998E-2</v>
      </c>
      <c r="I11">
        <f>(1-0.67)/I6</f>
        <v>1.3199999999999998E-2</v>
      </c>
    </row>
    <row r="12" spans="1:9" x14ac:dyDescent="0.2">
      <c r="A12" t="s">
        <v>21</v>
      </c>
      <c r="B12">
        <f>B2*0.67</f>
        <v>487042.07825000002</v>
      </c>
      <c r="C12">
        <f t="shared" ref="C12:H12" si="1">C2*0.67</f>
        <v>1097182.7037500001</v>
      </c>
      <c r="D12">
        <f t="shared" si="1"/>
        <v>1236337.5832500001</v>
      </c>
      <c r="E12">
        <f t="shared" si="1"/>
        <v>1605633.2250000001</v>
      </c>
      <c r="F12">
        <f t="shared" si="1"/>
        <v>883098.27375000005</v>
      </c>
      <c r="G12">
        <f t="shared" si="1"/>
        <v>454929.41375000001</v>
      </c>
      <c r="H12">
        <f t="shared" si="1"/>
        <v>1926759.87</v>
      </c>
      <c r="I12">
        <f>I2*0.67</f>
        <v>2408449.8375000004</v>
      </c>
    </row>
    <row r="13" spans="1:9" x14ac:dyDescent="0.2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94</v>
      </c>
      <c r="B14">
        <v>0.89775450085911801</v>
      </c>
      <c r="C14">
        <v>0.89775450085911801</v>
      </c>
      <c r="D14">
        <v>0.89775450085911801</v>
      </c>
      <c r="E14">
        <v>0.89775450085911801</v>
      </c>
      <c r="F14">
        <v>0.89775450085911801</v>
      </c>
      <c r="G14">
        <v>0.89775450085911801</v>
      </c>
      <c r="H14">
        <v>0.89775450085911801</v>
      </c>
      <c r="I14">
        <v>0.89775450085911801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3B43-D754-5346-B372-5334A6F317AF}">
  <dimension ref="A1:I15"/>
  <sheetViews>
    <sheetView zoomScale="137" zoomScaleNormal="137" workbookViewId="0">
      <selection activeCell="B5" sqref="B5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9" x14ac:dyDescent="0.2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88</v>
      </c>
      <c r="I1" t="s">
        <v>89</v>
      </c>
    </row>
    <row r="2" spans="1:9" x14ac:dyDescent="0.2">
      <c r="A2" t="s">
        <v>1</v>
      </c>
      <c r="B2">
        <v>726928.47499999998</v>
      </c>
      <c r="C2">
        <v>1637586.125</v>
      </c>
      <c r="D2">
        <v>1845279.9750000001</v>
      </c>
      <c r="E2">
        <v>2396467.5</v>
      </c>
      <c r="F2">
        <v>1318057.125</v>
      </c>
      <c r="G2">
        <v>678999.125</v>
      </c>
      <c r="H2">
        <v>2875761</v>
      </c>
      <c r="I2">
        <v>3594701.25</v>
      </c>
    </row>
    <row r="3" spans="1:9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ht="16" customHeight="1" x14ac:dyDescent="0.2">
      <c r="A5" t="s">
        <v>4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t="s">
        <v>90</v>
      </c>
      <c r="I5" t="s">
        <v>91</v>
      </c>
    </row>
    <row r="6" spans="1:9" x14ac:dyDescent="0.2">
      <c r="A6" t="s">
        <v>5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</row>
    <row r="7" spans="1:9" x14ac:dyDescent="0.2">
      <c r="A7" t="s">
        <v>14</v>
      </c>
      <c r="B7">
        <v>25</v>
      </c>
      <c r="C7">
        <v>25</v>
      </c>
      <c r="D7">
        <v>25</v>
      </c>
      <c r="E7">
        <v>25</v>
      </c>
      <c r="F7">
        <v>25</v>
      </c>
      <c r="G7">
        <v>25</v>
      </c>
      <c r="H7">
        <v>25</v>
      </c>
      <c r="I7">
        <v>25</v>
      </c>
    </row>
    <row r="8" spans="1:9" x14ac:dyDescent="0.2">
      <c r="A8" t="s">
        <v>16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</row>
    <row r="9" spans="1:9" x14ac:dyDescent="0.2">
      <c r="A9" t="s">
        <v>17</v>
      </c>
      <c r="B9">
        <v>1.6E-2</v>
      </c>
      <c r="C9">
        <v>1.6E-2</v>
      </c>
      <c r="D9">
        <v>1.6E-2</v>
      </c>
      <c r="E9">
        <v>1.6E-2</v>
      </c>
      <c r="F9">
        <v>1.6E-2</v>
      </c>
      <c r="G9">
        <v>1.6E-2</v>
      </c>
      <c r="H9">
        <v>1.6E-2</v>
      </c>
      <c r="I9">
        <v>1.6E-2</v>
      </c>
    </row>
    <row r="10" spans="1:9" x14ac:dyDescent="0.2">
      <c r="A10" t="s">
        <v>18</v>
      </c>
      <c r="B10">
        <v>12502.717878087578</v>
      </c>
      <c r="C10">
        <v>28165.463351735754</v>
      </c>
      <c r="D10">
        <v>31737.668459760775</v>
      </c>
      <c r="E10">
        <v>41217.751246442567</v>
      </c>
      <c r="F10">
        <v>22669.763185543412</v>
      </c>
      <c r="G10">
        <v>11678.362853158727</v>
      </c>
      <c r="H10">
        <v>49461.301495731081</v>
      </c>
      <c r="I10">
        <v>61826.626869663851</v>
      </c>
    </row>
    <row r="11" spans="1:9" x14ac:dyDescent="0.2">
      <c r="A1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20</v>
      </c>
      <c r="B12">
        <v>2.6800000000000001E-2</v>
      </c>
      <c r="C12">
        <v>2.6800000000000001E-2</v>
      </c>
      <c r="D12">
        <v>2.6800000000000001E-2</v>
      </c>
      <c r="E12">
        <v>2.6800000000000001E-2</v>
      </c>
      <c r="F12">
        <v>2.6800000000000001E-2</v>
      </c>
      <c r="G12">
        <v>2.6800000000000001E-2</v>
      </c>
      <c r="H12">
        <v>2.6800000000000001E-2</v>
      </c>
      <c r="I12">
        <v>2.6800000000000001E-2</v>
      </c>
    </row>
    <row r="13" spans="1:9" x14ac:dyDescent="0.2">
      <c r="A13" t="s">
        <v>21</v>
      </c>
      <c r="B13">
        <f>B2*0.67</f>
        <v>487042.07825000002</v>
      </c>
      <c r="C13">
        <f t="shared" ref="C13:H13" si="0">C2*0.67</f>
        <v>1097182.7037500001</v>
      </c>
      <c r="D13">
        <f t="shared" si="0"/>
        <v>1236337.5832500001</v>
      </c>
      <c r="E13">
        <f t="shared" si="0"/>
        <v>1605633.2250000001</v>
      </c>
      <c r="F13">
        <f t="shared" si="0"/>
        <v>883098.27375000005</v>
      </c>
      <c r="G13">
        <f t="shared" si="0"/>
        <v>454929.41375000001</v>
      </c>
      <c r="H13">
        <f t="shared" si="0"/>
        <v>1926759.87</v>
      </c>
      <c r="I13">
        <f>I2*0.67</f>
        <v>2408449.8375000004</v>
      </c>
    </row>
    <row r="14" spans="1:9" x14ac:dyDescent="0.2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94</v>
      </c>
      <c r="B15">
        <v>0.89775450085911801</v>
      </c>
      <c r="C15">
        <v>0.89775450085911801</v>
      </c>
      <c r="D15">
        <v>0.89775450085911801</v>
      </c>
      <c r="E15">
        <v>0.89775450085911801</v>
      </c>
      <c r="F15">
        <v>0.89775450085911801</v>
      </c>
      <c r="G15">
        <v>0.89775450085911801</v>
      </c>
      <c r="H15">
        <v>0.89775450085911801</v>
      </c>
      <c r="I15">
        <v>0.89775450085911801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B7"/>
  <sheetViews>
    <sheetView zoomScale="200" workbookViewId="0">
      <selection activeCell="A7" sqref="A7"/>
    </sheetView>
  </sheetViews>
  <sheetFormatPr baseColWidth="10" defaultRowHeight="16" x14ac:dyDescent="0.2"/>
  <cols>
    <col min="1" max="1" width="26.1640625" bestFit="1" customWidth="1"/>
    <col min="3" max="3" width="11.33203125" bestFit="1" customWidth="1"/>
    <col min="4" max="4" width="13.1640625" bestFit="1" customWidth="1"/>
    <col min="5" max="5" width="17.6640625" bestFit="1" customWidth="1"/>
    <col min="6" max="7" width="17.6640625" customWidth="1"/>
    <col min="8" max="8" width="17.1640625" bestFit="1" customWidth="1"/>
    <col min="9" max="9" width="25.1640625" bestFit="1" customWidth="1"/>
    <col min="10" max="10" width="26.1640625" bestFit="1" customWidth="1"/>
    <col min="11" max="11" width="17.83203125" bestFit="1" customWidth="1"/>
    <col min="12" max="12" width="16.6640625" bestFit="1" customWidth="1"/>
  </cols>
  <sheetData>
    <row r="1" spans="1:2" x14ac:dyDescent="0.2">
      <c r="A1" t="s">
        <v>0</v>
      </c>
      <c r="B1" t="s">
        <v>12</v>
      </c>
    </row>
    <row r="2" spans="1:2" x14ac:dyDescent="0.2">
      <c r="A2" t="s">
        <v>6</v>
      </c>
      <c r="B2">
        <v>1</v>
      </c>
    </row>
    <row r="3" spans="1:2" x14ac:dyDescent="0.2">
      <c r="A3" t="s">
        <v>10</v>
      </c>
      <c r="B3">
        <f>-LN(B5)/5</f>
        <v>4.0936230472270511E-2</v>
      </c>
    </row>
    <row r="4" spans="1:2" x14ac:dyDescent="0.2">
      <c r="A4" t="s">
        <v>11</v>
      </c>
      <c r="B4">
        <v>0</v>
      </c>
    </row>
    <row r="5" spans="1:2" x14ac:dyDescent="0.2">
      <c r="A5" t="s">
        <v>7</v>
      </c>
      <c r="B5">
        <v>0.81490710619906204</v>
      </c>
    </row>
    <row r="6" spans="1:2" x14ac:dyDescent="0.2">
      <c r="A6" t="s">
        <v>8</v>
      </c>
      <c r="B6">
        <f>EXP(B4)</f>
        <v>1</v>
      </c>
    </row>
    <row r="7" spans="1:2" x14ac:dyDescent="0.2">
      <c r="A7" t="s">
        <v>9</v>
      </c>
      <c r="B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8A3E-987F-534C-BE5F-E1607AAFBDBF}">
  <dimension ref="A1:Y158"/>
  <sheetViews>
    <sheetView topLeftCell="A103" zoomScaleNormal="125" workbookViewId="0">
      <selection activeCell="F153" sqref="F153"/>
    </sheetView>
  </sheetViews>
  <sheetFormatPr baseColWidth="10" defaultRowHeight="16" x14ac:dyDescent="0.2"/>
  <cols>
    <col min="1" max="1" width="23.83203125" customWidth="1"/>
    <col min="2" max="2" width="19.5" customWidth="1"/>
    <col min="3" max="3" width="18.5" customWidth="1"/>
    <col min="4" max="4" width="22" customWidth="1"/>
    <col min="5" max="5" width="23" customWidth="1"/>
    <col min="6" max="6" width="25.33203125" customWidth="1"/>
    <col min="7" max="7" width="30.1640625" customWidth="1"/>
    <col min="8" max="8" width="21.1640625" customWidth="1"/>
  </cols>
  <sheetData>
    <row r="1" spans="1:25" x14ac:dyDescent="0.2">
      <c r="A1" t="s">
        <v>24</v>
      </c>
      <c r="B1" t="s">
        <v>27</v>
      </c>
      <c r="C1" t="s">
        <v>26</v>
      </c>
      <c r="D1" t="s">
        <v>28</v>
      </c>
      <c r="E1" t="s">
        <v>29</v>
      </c>
      <c r="F1" t="s">
        <v>30</v>
      </c>
      <c r="G1" t="s">
        <v>31</v>
      </c>
      <c r="H1" t="s">
        <v>33</v>
      </c>
    </row>
    <row r="2" spans="1:25" x14ac:dyDescent="0.2">
      <c r="A2" t="s">
        <v>23</v>
      </c>
      <c r="B2">
        <v>44</v>
      </c>
      <c r="C2">
        <v>910</v>
      </c>
      <c r="D2">
        <v>3</v>
      </c>
      <c r="E2">
        <v>16.5</v>
      </c>
      <c r="F2">
        <v>34</v>
      </c>
      <c r="G2" s="1" t="s">
        <v>32</v>
      </c>
      <c r="H2">
        <v>50</v>
      </c>
    </row>
    <row r="3" spans="1:25" x14ac:dyDescent="0.2">
      <c r="G3" s="1"/>
    </row>
    <row r="4" spans="1:25" x14ac:dyDescent="0.2">
      <c r="A4" t="s">
        <v>34</v>
      </c>
      <c r="B4" t="s">
        <v>35</v>
      </c>
      <c r="C4" t="s">
        <v>36</v>
      </c>
      <c r="D4" t="s">
        <v>38</v>
      </c>
      <c r="E4" t="s">
        <v>37</v>
      </c>
      <c r="Y4" t="s">
        <v>76</v>
      </c>
    </row>
    <row r="5" spans="1:25" x14ac:dyDescent="0.2">
      <c r="A5">
        <v>2019</v>
      </c>
      <c r="B5">
        <v>58213.1</v>
      </c>
      <c r="C5">
        <v>29851.5</v>
      </c>
      <c r="D5">
        <v>47363.7</v>
      </c>
      <c r="E5">
        <v>24586.2</v>
      </c>
      <c r="F5">
        <v>30374.7</v>
      </c>
      <c r="G5">
        <v>20772.2</v>
      </c>
      <c r="H5">
        <v>32080.9</v>
      </c>
      <c r="I5">
        <v>42815.1</v>
      </c>
      <c r="J5">
        <v>30324.2</v>
      </c>
      <c r="K5">
        <v>19903</v>
      </c>
      <c r="L5">
        <v>17792.8</v>
      </c>
      <c r="M5">
        <v>35793.300000000003</v>
      </c>
      <c r="Y5">
        <v>0.2</v>
      </c>
    </row>
    <row r="6" spans="1:25" x14ac:dyDescent="0.2">
      <c r="A6">
        <v>2020</v>
      </c>
      <c r="B6">
        <v>29698.2</v>
      </c>
      <c r="C6">
        <v>58776</v>
      </c>
      <c r="D6">
        <v>47030.1</v>
      </c>
      <c r="E6">
        <v>43972.4</v>
      </c>
      <c r="F6">
        <v>26855.7</v>
      </c>
      <c r="G6">
        <v>18566.3</v>
      </c>
      <c r="H6">
        <v>34970.699999999997</v>
      </c>
      <c r="I6">
        <v>36452.400000000001</v>
      </c>
      <c r="J6">
        <v>29431.9</v>
      </c>
      <c r="K6">
        <v>20012.099999999999</v>
      </c>
      <c r="L6">
        <v>22257.8</v>
      </c>
      <c r="M6">
        <v>21864.6</v>
      </c>
    </row>
    <row r="7" spans="1:25" x14ac:dyDescent="0.2">
      <c r="A7">
        <v>2021</v>
      </c>
      <c r="B7">
        <v>61460.5</v>
      </c>
      <c r="C7">
        <v>41734.400000000001</v>
      </c>
      <c r="D7">
        <v>43608.7</v>
      </c>
      <c r="E7">
        <v>62188.5</v>
      </c>
      <c r="F7">
        <v>38534.199999999997</v>
      </c>
      <c r="G7">
        <v>17459.2</v>
      </c>
      <c r="H7">
        <v>40724.1</v>
      </c>
      <c r="I7">
        <v>32709.1</v>
      </c>
      <c r="J7">
        <v>30089.5</v>
      </c>
      <c r="K7">
        <v>21961.200000000001</v>
      </c>
      <c r="L7">
        <v>47962</v>
      </c>
      <c r="M7">
        <v>38158.199999999997</v>
      </c>
    </row>
    <row r="8" spans="1:25" x14ac:dyDescent="0.2">
      <c r="A8">
        <v>2022</v>
      </c>
      <c r="B8">
        <v>40182.1</v>
      </c>
      <c r="C8">
        <v>46864.7</v>
      </c>
      <c r="D8">
        <v>38243.5</v>
      </c>
      <c r="E8">
        <v>57658.5</v>
      </c>
      <c r="F8">
        <v>27690</v>
      </c>
      <c r="G8">
        <v>36210</v>
      </c>
      <c r="H8">
        <v>40158.300000000003</v>
      </c>
      <c r="I8">
        <v>29635.599999999999</v>
      </c>
      <c r="J8">
        <v>28473.5</v>
      </c>
      <c r="K8">
        <v>31829.5</v>
      </c>
      <c r="L8">
        <v>32139.4</v>
      </c>
      <c r="M8">
        <v>18174.599999999999</v>
      </c>
    </row>
    <row r="11" spans="1:25" x14ac:dyDescent="0.2">
      <c r="A11" t="s">
        <v>24</v>
      </c>
      <c r="B11" t="s">
        <v>27</v>
      </c>
      <c r="C11" t="s">
        <v>26</v>
      </c>
      <c r="D11" t="s">
        <v>28</v>
      </c>
      <c r="E11" t="s">
        <v>29</v>
      </c>
      <c r="F11" t="s">
        <v>30</v>
      </c>
      <c r="G11" t="s">
        <v>31</v>
      </c>
      <c r="H11" t="s">
        <v>33</v>
      </c>
    </row>
    <row r="12" spans="1:25" x14ac:dyDescent="0.2">
      <c r="A12" t="s">
        <v>39</v>
      </c>
      <c r="B12">
        <v>82</v>
      </c>
      <c r="C12">
        <v>2050</v>
      </c>
      <c r="D12">
        <v>2</v>
      </c>
      <c r="E12">
        <v>12.5</v>
      </c>
      <c r="F12">
        <v>34</v>
      </c>
      <c r="G12" s="1" t="s">
        <v>40</v>
      </c>
      <c r="H12">
        <v>85</v>
      </c>
    </row>
    <row r="14" spans="1:25" x14ac:dyDescent="0.2">
      <c r="A14" t="s">
        <v>34</v>
      </c>
      <c r="B14" t="s">
        <v>35</v>
      </c>
      <c r="C14" t="s">
        <v>36</v>
      </c>
      <c r="D14" t="s">
        <v>38</v>
      </c>
      <c r="E14" t="s">
        <v>37</v>
      </c>
    </row>
    <row r="15" spans="1:25" x14ac:dyDescent="0.2">
      <c r="A15">
        <v>2019</v>
      </c>
      <c r="B15">
        <v>254469</v>
      </c>
      <c r="C15">
        <v>134252</v>
      </c>
      <c r="D15">
        <v>216628</v>
      </c>
      <c r="E15">
        <v>116100</v>
      </c>
      <c r="F15">
        <v>142540</v>
      </c>
      <c r="G15">
        <v>98494.3</v>
      </c>
      <c r="H15">
        <v>152383</v>
      </c>
      <c r="I15">
        <v>203449</v>
      </c>
      <c r="J15">
        <v>143642</v>
      </c>
      <c r="K15">
        <v>90477.7</v>
      </c>
      <c r="L15">
        <v>80942.5</v>
      </c>
      <c r="M15">
        <v>144178</v>
      </c>
    </row>
    <row r="16" spans="1:25" x14ac:dyDescent="0.2">
      <c r="A16">
        <v>2020</v>
      </c>
      <c r="B16">
        <v>138362</v>
      </c>
      <c r="C16">
        <v>243636</v>
      </c>
      <c r="D16">
        <v>210091</v>
      </c>
      <c r="E16">
        <v>190517</v>
      </c>
      <c r="F16">
        <v>123737</v>
      </c>
      <c r="G16">
        <v>87677.8</v>
      </c>
      <c r="H16">
        <v>165838</v>
      </c>
      <c r="I16">
        <v>173055</v>
      </c>
      <c r="J16">
        <v>139569</v>
      </c>
      <c r="K16">
        <v>94821</v>
      </c>
      <c r="L16">
        <v>105610</v>
      </c>
      <c r="M16">
        <v>103665</v>
      </c>
    </row>
    <row r="17" spans="1:13" x14ac:dyDescent="0.2">
      <c r="A17">
        <v>2021</v>
      </c>
      <c r="B17">
        <v>258873</v>
      </c>
      <c r="C17">
        <v>192110</v>
      </c>
      <c r="D17">
        <v>193542</v>
      </c>
      <c r="E17">
        <v>277014</v>
      </c>
      <c r="F17">
        <v>182213</v>
      </c>
      <c r="G17">
        <v>82700.600000000006</v>
      </c>
      <c r="H17">
        <v>193307</v>
      </c>
      <c r="I17">
        <v>155321</v>
      </c>
      <c r="J17">
        <v>142758</v>
      </c>
      <c r="K17">
        <v>103918</v>
      </c>
      <c r="L17">
        <v>185844</v>
      </c>
      <c r="M17">
        <v>166807</v>
      </c>
    </row>
    <row r="18" spans="1:13" x14ac:dyDescent="0.2">
      <c r="A18">
        <v>2022</v>
      </c>
      <c r="B18">
        <v>186365</v>
      </c>
      <c r="C18">
        <v>209216</v>
      </c>
      <c r="D18">
        <v>178413</v>
      </c>
      <c r="E18">
        <v>246093</v>
      </c>
      <c r="F18">
        <v>131009</v>
      </c>
      <c r="G18">
        <v>169656</v>
      </c>
      <c r="H18">
        <v>190368</v>
      </c>
      <c r="I18">
        <v>140461</v>
      </c>
      <c r="J18">
        <v>134582</v>
      </c>
      <c r="K18">
        <v>144944</v>
      </c>
      <c r="L18">
        <v>151946</v>
      </c>
      <c r="M18">
        <v>86402.9</v>
      </c>
    </row>
    <row r="21" spans="1:13" x14ac:dyDescent="0.2">
      <c r="A21" t="s">
        <v>24</v>
      </c>
      <c r="B21" t="s">
        <v>27</v>
      </c>
      <c r="C21" t="s">
        <v>26</v>
      </c>
      <c r="D21" t="s">
        <v>28</v>
      </c>
      <c r="E21" t="s">
        <v>29</v>
      </c>
      <c r="F21" t="s">
        <v>30</v>
      </c>
      <c r="G21" t="s">
        <v>31</v>
      </c>
      <c r="H21" t="s">
        <v>33</v>
      </c>
    </row>
    <row r="22" spans="1:13" x14ac:dyDescent="0.2">
      <c r="A22" t="s">
        <v>41</v>
      </c>
      <c r="B22">
        <v>71</v>
      </c>
      <c r="C22">
        <v>2310</v>
      </c>
      <c r="D22">
        <v>2</v>
      </c>
      <c r="E22">
        <v>15.5</v>
      </c>
      <c r="F22">
        <v>34</v>
      </c>
      <c r="G22" t="s">
        <v>42</v>
      </c>
      <c r="H22">
        <v>85</v>
      </c>
    </row>
    <row r="24" spans="1:13" x14ac:dyDescent="0.2">
      <c r="A24" t="s">
        <v>34</v>
      </c>
      <c r="B24" t="s">
        <v>35</v>
      </c>
      <c r="C24" t="s">
        <v>36</v>
      </c>
      <c r="D24" t="s">
        <v>38</v>
      </c>
      <c r="E24" t="s">
        <v>37</v>
      </c>
    </row>
    <row r="25" spans="1:13" x14ac:dyDescent="0.2">
      <c r="A25">
        <v>2019</v>
      </c>
      <c r="B25">
        <v>201149</v>
      </c>
      <c r="C25">
        <v>103775</v>
      </c>
      <c r="D25">
        <v>167729</v>
      </c>
      <c r="E25">
        <v>86776.8</v>
      </c>
      <c r="F25">
        <v>107210</v>
      </c>
      <c r="G25">
        <v>73271.7</v>
      </c>
      <c r="H25">
        <v>114026</v>
      </c>
      <c r="I25">
        <v>153022</v>
      </c>
      <c r="J25">
        <v>107783</v>
      </c>
      <c r="K25">
        <v>68991.3</v>
      </c>
      <c r="L25">
        <v>61452.1</v>
      </c>
      <c r="M25">
        <v>118982</v>
      </c>
    </row>
    <row r="26" spans="1:13" x14ac:dyDescent="0.2">
      <c r="A26">
        <v>2020</v>
      </c>
      <c r="B26">
        <v>104743</v>
      </c>
      <c r="C26">
        <v>198055</v>
      </c>
      <c r="D26">
        <v>163805</v>
      </c>
      <c r="E26">
        <v>152167</v>
      </c>
      <c r="F26">
        <v>93942</v>
      </c>
      <c r="G26">
        <v>64699.199999999997</v>
      </c>
      <c r="H26">
        <v>124433</v>
      </c>
      <c r="I26">
        <v>130143</v>
      </c>
      <c r="J26">
        <v>104540</v>
      </c>
      <c r="K26">
        <v>70244.399999999994</v>
      </c>
      <c r="L26">
        <v>78793.3</v>
      </c>
      <c r="M26">
        <v>77136.5</v>
      </c>
    </row>
    <row r="27" spans="1:13" x14ac:dyDescent="0.2">
      <c r="A27">
        <v>2021</v>
      </c>
      <c r="B27">
        <v>209783</v>
      </c>
      <c r="C27">
        <v>147783</v>
      </c>
      <c r="D27">
        <v>151833</v>
      </c>
      <c r="E27">
        <v>217978</v>
      </c>
      <c r="F27">
        <v>137186</v>
      </c>
      <c r="G27">
        <v>61098.2</v>
      </c>
      <c r="H27">
        <v>145141</v>
      </c>
      <c r="I27">
        <v>116259</v>
      </c>
      <c r="J27">
        <v>106672</v>
      </c>
      <c r="K27">
        <v>76975.399999999994</v>
      </c>
      <c r="L27">
        <v>156134</v>
      </c>
      <c r="M27">
        <v>130951</v>
      </c>
    </row>
    <row r="28" spans="1:13" x14ac:dyDescent="0.2">
      <c r="A28">
        <v>2022</v>
      </c>
      <c r="B28">
        <v>142126</v>
      </c>
      <c r="C28">
        <v>164232</v>
      </c>
      <c r="D28">
        <v>135312</v>
      </c>
      <c r="E28">
        <v>197415</v>
      </c>
      <c r="F28">
        <v>98053.9</v>
      </c>
      <c r="G28">
        <v>128528</v>
      </c>
      <c r="H28">
        <v>143074</v>
      </c>
      <c r="I28">
        <v>105049</v>
      </c>
      <c r="J28">
        <v>100907</v>
      </c>
      <c r="K28">
        <v>111237</v>
      </c>
      <c r="L28">
        <v>114073</v>
      </c>
      <c r="M28">
        <v>64092.3</v>
      </c>
    </row>
    <row r="31" spans="1:13" x14ac:dyDescent="0.2">
      <c r="A31" t="s">
        <v>24</v>
      </c>
      <c r="B31" t="s">
        <v>27</v>
      </c>
      <c r="C31" t="s">
        <v>26</v>
      </c>
      <c r="D31" t="s">
        <v>28</v>
      </c>
      <c r="E31" t="s">
        <v>29</v>
      </c>
      <c r="F31" t="s">
        <v>30</v>
      </c>
      <c r="G31" t="s">
        <v>31</v>
      </c>
      <c r="H31" t="s">
        <v>33</v>
      </c>
    </row>
    <row r="32" spans="1:13" x14ac:dyDescent="0.2">
      <c r="A32" t="s">
        <v>43</v>
      </c>
      <c r="B32">
        <v>90</v>
      </c>
      <c r="C32">
        <v>3000</v>
      </c>
      <c r="D32">
        <v>3.5</v>
      </c>
      <c r="E32">
        <v>16.5</v>
      </c>
      <c r="F32">
        <v>25</v>
      </c>
      <c r="G32" s="1" t="s">
        <v>44</v>
      </c>
      <c r="H32">
        <v>85</v>
      </c>
    </row>
    <row r="34" spans="1:13" x14ac:dyDescent="0.2">
      <c r="A34" t="s">
        <v>34</v>
      </c>
      <c r="B34" t="s">
        <v>35</v>
      </c>
      <c r="C34" t="s">
        <v>36</v>
      </c>
      <c r="D34" t="s">
        <v>38</v>
      </c>
      <c r="E34" t="s">
        <v>37</v>
      </c>
    </row>
    <row r="35" spans="1:13" x14ac:dyDescent="0.2">
      <c r="A35">
        <v>2019</v>
      </c>
      <c r="B35">
        <v>260503</v>
      </c>
      <c r="C35">
        <v>133799</v>
      </c>
      <c r="D35">
        <v>214294</v>
      </c>
      <c r="E35">
        <v>110581</v>
      </c>
      <c r="F35">
        <v>138208</v>
      </c>
      <c r="G35">
        <v>92585.4</v>
      </c>
      <c r="H35">
        <v>146905</v>
      </c>
      <c r="I35">
        <v>198173</v>
      </c>
      <c r="J35">
        <v>139055</v>
      </c>
      <c r="K35">
        <v>86707.199999999997</v>
      </c>
      <c r="L35">
        <v>77532.399999999994</v>
      </c>
      <c r="M35">
        <v>151611</v>
      </c>
    </row>
    <row r="36" spans="1:13" x14ac:dyDescent="0.2">
      <c r="A36">
        <v>2020</v>
      </c>
      <c r="B36">
        <v>134177</v>
      </c>
      <c r="C36">
        <v>254298</v>
      </c>
      <c r="D36">
        <v>210611</v>
      </c>
      <c r="E36">
        <v>193940</v>
      </c>
      <c r="F36">
        <v>120125</v>
      </c>
      <c r="G36">
        <v>82383</v>
      </c>
      <c r="H36">
        <v>160630</v>
      </c>
      <c r="I36">
        <v>167839</v>
      </c>
      <c r="J36">
        <v>134646</v>
      </c>
      <c r="K36">
        <v>89961.4</v>
      </c>
      <c r="L36">
        <v>100065</v>
      </c>
      <c r="M36">
        <v>99186</v>
      </c>
    </row>
    <row r="37" spans="1:13" x14ac:dyDescent="0.2">
      <c r="A37">
        <v>2021</v>
      </c>
      <c r="B37">
        <v>269400</v>
      </c>
      <c r="C37">
        <v>189662</v>
      </c>
      <c r="D37">
        <v>194892</v>
      </c>
      <c r="E37">
        <v>279007</v>
      </c>
      <c r="F37">
        <v>176894</v>
      </c>
      <c r="G37">
        <v>77634.7</v>
      </c>
      <c r="H37">
        <v>188225</v>
      </c>
      <c r="I37">
        <v>150102</v>
      </c>
      <c r="J37">
        <v>138339</v>
      </c>
      <c r="K37">
        <v>99522.2</v>
      </c>
      <c r="L37">
        <v>199695</v>
      </c>
      <c r="M37">
        <v>169814</v>
      </c>
    </row>
    <row r="38" spans="1:13" x14ac:dyDescent="0.2">
      <c r="A38">
        <v>2022</v>
      </c>
      <c r="B38">
        <v>182741</v>
      </c>
      <c r="C38">
        <v>210249</v>
      </c>
      <c r="D38">
        <v>174389</v>
      </c>
      <c r="E38">
        <v>253403</v>
      </c>
      <c r="F38">
        <v>125244</v>
      </c>
      <c r="G38">
        <v>165515</v>
      </c>
      <c r="H38">
        <v>185164</v>
      </c>
      <c r="I38">
        <v>135261</v>
      </c>
      <c r="J38">
        <v>129289</v>
      </c>
      <c r="K38">
        <v>142064</v>
      </c>
      <c r="L38">
        <v>147227</v>
      </c>
      <c r="M38">
        <v>80377</v>
      </c>
    </row>
    <row r="41" spans="1:13" x14ac:dyDescent="0.2">
      <c r="A41" t="s">
        <v>24</v>
      </c>
      <c r="B41" t="s">
        <v>27</v>
      </c>
      <c r="C41" t="s">
        <v>26</v>
      </c>
      <c r="D41" t="s">
        <v>28</v>
      </c>
      <c r="E41" t="s">
        <v>29</v>
      </c>
      <c r="F41" t="s">
        <v>30</v>
      </c>
      <c r="G41" t="s">
        <v>31</v>
      </c>
      <c r="H41" t="s">
        <v>33</v>
      </c>
    </row>
    <row r="42" spans="1:13" x14ac:dyDescent="0.2">
      <c r="A42" t="s">
        <v>45</v>
      </c>
      <c r="B42">
        <v>82</v>
      </c>
      <c r="C42">
        <v>1650</v>
      </c>
      <c r="D42">
        <v>2.5</v>
      </c>
      <c r="E42">
        <v>13</v>
      </c>
      <c r="F42">
        <v>32</v>
      </c>
      <c r="G42" s="1" t="s">
        <v>46</v>
      </c>
      <c r="H42">
        <v>85</v>
      </c>
    </row>
    <row r="44" spans="1:13" x14ac:dyDescent="0.2">
      <c r="A44" t="s">
        <v>34</v>
      </c>
      <c r="B44" t="s">
        <v>35</v>
      </c>
      <c r="C44" t="s">
        <v>36</v>
      </c>
      <c r="D44" t="s">
        <v>38</v>
      </c>
      <c r="E44" t="s">
        <v>37</v>
      </c>
    </row>
    <row r="45" spans="1:13" x14ac:dyDescent="0.2">
      <c r="A45">
        <v>2019</v>
      </c>
      <c r="B45">
        <v>271036</v>
      </c>
      <c r="C45">
        <v>152784</v>
      </c>
      <c r="D45">
        <v>224854</v>
      </c>
      <c r="E45">
        <v>130232</v>
      </c>
      <c r="F45">
        <v>161677</v>
      </c>
      <c r="G45">
        <v>114249</v>
      </c>
      <c r="H45">
        <v>180063</v>
      </c>
      <c r="I45">
        <v>239270</v>
      </c>
      <c r="J45">
        <v>168139</v>
      </c>
      <c r="K45">
        <v>96411.8</v>
      </c>
      <c r="L45">
        <v>86939.3</v>
      </c>
      <c r="M45">
        <v>149090</v>
      </c>
    </row>
    <row r="46" spans="1:13" x14ac:dyDescent="0.2">
      <c r="A46">
        <v>2020</v>
      </c>
      <c r="B46">
        <v>157318</v>
      </c>
      <c r="C46">
        <v>250550</v>
      </c>
      <c r="D46">
        <v>229720</v>
      </c>
      <c r="E46">
        <v>194645</v>
      </c>
      <c r="F46">
        <v>139715</v>
      </c>
      <c r="G46">
        <v>103376</v>
      </c>
      <c r="H46">
        <v>196883</v>
      </c>
      <c r="I46">
        <v>192120</v>
      </c>
      <c r="J46">
        <v>165238</v>
      </c>
      <c r="K46">
        <v>108728</v>
      </c>
      <c r="L46">
        <v>119719</v>
      </c>
      <c r="M46">
        <v>119061</v>
      </c>
    </row>
    <row r="47" spans="1:13" x14ac:dyDescent="0.2">
      <c r="A47">
        <v>2021</v>
      </c>
      <c r="B47">
        <v>264190</v>
      </c>
      <c r="C47">
        <v>201472</v>
      </c>
      <c r="D47">
        <v>201634</v>
      </c>
      <c r="E47">
        <v>288682</v>
      </c>
      <c r="F47">
        <v>206388</v>
      </c>
      <c r="G47">
        <v>96533.8</v>
      </c>
      <c r="H47">
        <v>226339</v>
      </c>
      <c r="I47">
        <v>180126</v>
      </c>
      <c r="J47">
        <v>170906</v>
      </c>
      <c r="K47">
        <v>124242</v>
      </c>
      <c r="L47">
        <v>184203</v>
      </c>
      <c r="M47">
        <v>193407</v>
      </c>
    </row>
    <row r="48" spans="1:13" x14ac:dyDescent="0.2">
      <c r="A48">
        <v>2022</v>
      </c>
      <c r="B48">
        <v>206355</v>
      </c>
      <c r="C48">
        <v>213574</v>
      </c>
      <c r="D48">
        <v>191377</v>
      </c>
      <c r="E48">
        <v>251801</v>
      </c>
      <c r="F48">
        <v>150129</v>
      </c>
      <c r="G48">
        <v>192166</v>
      </c>
      <c r="H48">
        <v>227799</v>
      </c>
      <c r="I48">
        <v>163825</v>
      </c>
      <c r="J48">
        <v>152360</v>
      </c>
      <c r="K48">
        <v>166158</v>
      </c>
      <c r="L48">
        <v>170283</v>
      </c>
      <c r="M48">
        <v>95221.1</v>
      </c>
    </row>
    <row r="51" spans="1:13" x14ac:dyDescent="0.2">
      <c r="A51" t="s">
        <v>24</v>
      </c>
      <c r="B51" t="s">
        <v>27</v>
      </c>
      <c r="C51" t="s">
        <v>26</v>
      </c>
      <c r="D51" t="s">
        <v>28</v>
      </c>
      <c r="E51" t="s">
        <v>29</v>
      </c>
      <c r="F51" t="s">
        <v>30</v>
      </c>
      <c r="G51" t="s">
        <v>31</v>
      </c>
      <c r="H51" t="s">
        <v>33</v>
      </c>
    </row>
    <row r="52" spans="1:13" x14ac:dyDescent="0.2">
      <c r="A52" t="s">
        <v>47</v>
      </c>
      <c r="B52">
        <v>52</v>
      </c>
      <c r="C52">
        <v>850</v>
      </c>
      <c r="D52">
        <v>3</v>
      </c>
      <c r="E52">
        <v>14</v>
      </c>
      <c r="F52">
        <v>25</v>
      </c>
      <c r="G52" t="s">
        <v>48</v>
      </c>
      <c r="H52">
        <v>55</v>
      </c>
    </row>
    <row r="54" spans="1:13" x14ac:dyDescent="0.2">
      <c r="A54" t="s">
        <v>34</v>
      </c>
      <c r="B54" t="s">
        <v>35</v>
      </c>
      <c r="C54" t="s">
        <v>36</v>
      </c>
      <c r="D54" t="s">
        <v>38</v>
      </c>
      <c r="E54" t="s">
        <v>37</v>
      </c>
    </row>
    <row r="55" spans="1:13" x14ac:dyDescent="0.2">
      <c r="A55">
        <v>2019</v>
      </c>
      <c r="B55">
        <v>49312.2</v>
      </c>
      <c r="C55">
        <v>23404.1</v>
      </c>
      <c r="D55">
        <v>39946</v>
      </c>
      <c r="E55">
        <v>18311.400000000001</v>
      </c>
      <c r="F55">
        <v>23761.1</v>
      </c>
      <c r="G55">
        <v>15202.6</v>
      </c>
      <c r="H55">
        <v>25321.4</v>
      </c>
      <c r="I55">
        <v>35632.800000000003</v>
      </c>
      <c r="J55">
        <v>24615.9</v>
      </c>
      <c r="K55">
        <v>13669.3</v>
      </c>
      <c r="L55">
        <v>12335.9</v>
      </c>
      <c r="M55">
        <v>29319.4</v>
      </c>
    </row>
    <row r="56" spans="1:13" x14ac:dyDescent="0.2">
      <c r="A56">
        <v>2020</v>
      </c>
      <c r="B56">
        <v>23352</v>
      </c>
      <c r="C56">
        <v>50848.1</v>
      </c>
      <c r="D56">
        <v>39396.1</v>
      </c>
      <c r="E56">
        <v>35950.699999999997</v>
      </c>
      <c r="F56">
        <v>20537.599999999999</v>
      </c>
      <c r="G56">
        <v>12415.3</v>
      </c>
      <c r="H56">
        <v>28353.9</v>
      </c>
      <c r="I56">
        <v>30330</v>
      </c>
      <c r="J56">
        <v>23424</v>
      </c>
      <c r="K56">
        <v>14175.1</v>
      </c>
      <c r="L56">
        <v>16883.2</v>
      </c>
      <c r="M56">
        <v>16096.1</v>
      </c>
    </row>
    <row r="57" spans="1:13" x14ac:dyDescent="0.2">
      <c r="A57">
        <v>2021</v>
      </c>
      <c r="B57">
        <v>52287.8</v>
      </c>
      <c r="C57">
        <v>35336.199999999997</v>
      </c>
      <c r="D57">
        <v>36016.699999999997</v>
      </c>
      <c r="E57">
        <v>53529.3</v>
      </c>
      <c r="F57">
        <v>31376.6</v>
      </c>
      <c r="G57">
        <v>11852.9</v>
      </c>
      <c r="H57">
        <v>33450.1</v>
      </c>
      <c r="I57">
        <v>26099.8</v>
      </c>
      <c r="J57">
        <v>23583.8</v>
      </c>
      <c r="K57">
        <v>15797.7</v>
      </c>
      <c r="L57">
        <v>40489.800000000003</v>
      </c>
      <c r="M57">
        <v>30243.3</v>
      </c>
    </row>
    <row r="58" spans="1:13" x14ac:dyDescent="0.2">
      <c r="A58">
        <v>2022</v>
      </c>
      <c r="B58">
        <v>32352.7</v>
      </c>
      <c r="C58">
        <v>39594.5</v>
      </c>
      <c r="D58">
        <v>30521.599999999999</v>
      </c>
      <c r="E58">
        <v>49335.1</v>
      </c>
      <c r="F58">
        <v>21280.799999999999</v>
      </c>
      <c r="G58">
        <v>29572</v>
      </c>
      <c r="H58">
        <v>33068.9</v>
      </c>
      <c r="I58">
        <v>23204.2</v>
      </c>
      <c r="J58">
        <v>22313.8</v>
      </c>
      <c r="K58">
        <v>25706.2</v>
      </c>
      <c r="L58">
        <v>25532.1</v>
      </c>
      <c r="M58">
        <v>12704.9</v>
      </c>
    </row>
    <row r="61" spans="1:13" x14ac:dyDescent="0.2">
      <c r="A61" t="s">
        <v>24</v>
      </c>
      <c r="B61" t="s">
        <v>27</v>
      </c>
      <c r="C61" t="s">
        <v>26</v>
      </c>
      <c r="D61" t="s">
        <v>28</v>
      </c>
      <c r="E61" t="s">
        <v>29</v>
      </c>
      <c r="F61" t="s">
        <v>30</v>
      </c>
      <c r="G61" t="s">
        <v>31</v>
      </c>
      <c r="H61" t="s">
        <v>33</v>
      </c>
    </row>
    <row r="62" spans="1:13" x14ac:dyDescent="0.2">
      <c r="A62" t="s">
        <v>85</v>
      </c>
      <c r="B62">
        <v>120</v>
      </c>
      <c r="C62">
        <v>3600</v>
      </c>
      <c r="D62">
        <v>3</v>
      </c>
      <c r="E62">
        <v>14.5</v>
      </c>
      <c r="F62">
        <v>25</v>
      </c>
      <c r="G62">
        <v>90</v>
      </c>
      <c r="H62">
        <v>90</v>
      </c>
    </row>
    <row r="64" spans="1:13" x14ac:dyDescent="0.2">
      <c r="A64" t="s">
        <v>34</v>
      </c>
      <c r="B64" t="s">
        <v>35</v>
      </c>
      <c r="C64" t="s">
        <v>36</v>
      </c>
      <c r="D64" t="s">
        <v>38</v>
      </c>
      <c r="E64" t="s">
        <v>37</v>
      </c>
    </row>
    <row r="65" spans="1:13" x14ac:dyDescent="0.2">
      <c r="A65">
        <v>2019</v>
      </c>
      <c r="B65">
        <v>381308</v>
      </c>
      <c r="C65">
        <v>204695</v>
      </c>
      <c r="D65">
        <v>316306</v>
      </c>
      <c r="E65">
        <v>172273</v>
      </c>
      <c r="F65">
        <v>212666</v>
      </c>
      <c r="G65">
        <v>146373</v>
      </c>
      <c r="H65">
        <v>227883</v>
      </c>
      <c r="I65">
        <v>302007</v>
      </c>
      <c r="J65">
        <v>214240</v>
      </c>
      <c r="K65">
        <v>136223</v>
      </c>
      <c r="L65">
        <v>121315</v>
      </c>
      <c r="M65">
        <v>220713</v>
      </c>
    </row>
    <row r="66" spans="1:13" x14ac:dyDescent="0.2">
      <c r="A66">
        <v>2020</v>
      </c>
      <c r="B66">
        <v>207159</v>
      </c>
      <c r="C66">
        <v>365479</v>
      </c>
      <c r="D66">
        <v>312733</v>
      </c>
      <c r="E66">
        <v>288744</v>
      </c>
      <c r="F66">
        <v>185243</v>
      </c>
      <c r="G66">
        <v>132871</v>
      </c>
      <c r="H66">
        <v>247871</v>
      </c>
      <c r="I66">
        <v>250917</v>
      </c>
      <c r="J66">
        <v>208568</v>
      </c>
      <c r="K66">
        <v>141443</v>
      </c>
      <c r="L66">
        <v>155440</v>
      </c>
      <c r="M66">
        <v>154399</v>
      </c>
    </row>
    <row r="67" spans="1:13" x14ac:dyDescent="0.2">
      <c r="A67">
        <v>2021</v>
      </c>
      <c r="B67">
        <v>391455</v>
      </c>
      <c r="C67">
        <v>279445</v>
      </c>
      <c r="D67">
        <v>287059</v>
      </c>
      <c r="E67">
        <v>409418</v>
      </c>
      <c r="F67">
        <v>268922</v>
      </c>
      <c r="G67">
        <v>124587</v>
      </c>
      <c r="H67">
        <v>287301</v>
      </c>
      <c r="I67">
        <v>230487</v>
      </c>
      <c r="J67">
        <v>215489</v>
      </c>
      <c r="K67">
        <v>158400</v>
      </c>
      <c r="L67">
        <v>283061</v>
      </c>
      <c r="M67">
        <v>258427</v>
      </c>
    </row>
    <row r="68" spans="1:13" x14ac:dyDescent="0.2">
      <c r="A68">
        <v>2022</v>
      </c>
      <c r="B68">
        <v>278841</v>
      </c>
      <c r="C68">
        <v>308115</v>
      </c>
      <c r="D68">
        <v>263182</v>
      </c>
      <c r="E68">
        <v>367854</v>
      </c>
      <c r="F68">
        <v>194671</v>
      </c>
      <c r="G68">
        <v>251552</v>
      </c>
      <c r="H68">
        <v>285072</v>
      </c>
      <c r="I68">
        <v>209292</v>
      </c>
      <c r="J68">
        <v>198604</v>
      </c>
      <c r="K68">
        <v>217557</v>
      </c>
      <c r="L68">
        <v>224317</v>
      </c>
      <c r="M68">
        <v>126070</v>
      </c>
    </row>
    <row r="71" spans="1:13" x14ac:dyDescent="0.2">
      <c r="A71" t="s">
        <v>24</v>
      </c>
      <c r="B71" t="s">
        <v>27</v>
      </c>
      <c r="C71" t="s">
        <v>26</v>
      </c>
      <c r="D71" t="s">
        <v>28</v>
      </c>
      <c r="E71" t="s">
        <v>29</v>
      </c>
      <c r="F71" t="s">
        <v>30</v>
      </c>
      <c r="G71" t="s">
        <v>31</v>
      </c>
      <c r="H71" t="s">
        <v>33</v>
      </c>
    </row>
    <row r="72" spans="1:13" x14ac:dyDescent="0.2">
      <c r="A72" t="s">
        <v>86</v>
      </c>
      <c r="B72">
        <v>128</v>
      </c>
      <c r="C72">
        <v>4500</v>
      </c>
      <c r="D72">
        <v>2</v>
      </c>
      <c r="E72">
        <v>12.5</v>
      </c>
      <c r="F72">
        <v>27</v>
      </c>
      <c r="G72" s="1" t="s">
        <v>87</v>
      </c>
      <c r="H72">
        <v>120</v>
      </c>
    </row>
    <row r="74" spans="1:13" x14ac:dyDescent="0.2">
      <c r="A74" t="s">
        <v>34</v>
      </c>
      <c r="B74" t="s">
        <v>35</v>
      </c>
      <c r="C74" t="s">
        <v>36</v>
      </c>
      <c r="D74" t="s">
        <v>38</v>
      </c>
      <c r="E74" t="s">
        <v>37</v>
      </c>
    </row>
    <row r="75" spans="1:13" x14ac:dyDescent="0.2">
      <c r="A75">
        <v>2019</v>
      </c>
      <c r="B75">
        <v>685761</v>
      </c>
      <c r="C75">
        <v>376475</v>
      </c>
      <c r="D75">
        <v>582374</v>
      </c>
      <c r="E75">
        <v>329368</v>
      </c>
      <c r="F75">
        <v>401806</v>
      </c>
      <c r="G75">
        <v>282661</v>
      </c>
      <c r="H75">
        <v>435400</v>
      </c>
      <c r="I75">
        <v>576743</v>
      </c>
      <c r="J75">
        <v>405622</v>
      </c>
      <c r="K75">
        <v>253579</v>
      </c>
      <c r="L75">
        <v>227064</v>
      </c>
      <c r="M75">
        <v>382771</v>
      </c>
    </row>
    <row r="76" spans="1:13" x14ac:dyDescent="0.2">
      <c r="A76">
        <v>2020</v>
      </c>
      <c r="B76">
        <v>387414</v>
      </c>
      <c r="C76">
        <v>642165</v>
      </c>
      <c r="D76">
        <v>574536</v>
      </c>
      <c r="E76">
        <v>505147</v>
      </c>
      <c r="F76">
        <v>348857</v>
      </c>
      <c r="G76">
        <v>257331</v>
      </c>
      <c r="H76">
        <v>472742</v>
      </c>
      <c r="I76">
        <v>481265</v>
      </c>
      <c r="J76">
        <v>398429</v>
      </c>
      <c r="K76">
        <v>272923</v>
      </c>
      <c r="L76">
        <v>298837</v>
      </c>
      <c r="M76">
        <v>298185</v>
      </c>
    </row>
    <row r="77" spans="1:13" x14ac:dyDescent="0.2">
      <c r="A77">
        <v>2021</v>
      </c>
      <c r="B77">
        <v>681259</v>
      </c>
      <c r="C77">
        <v>518840</v>
      </c>
      <c r="D77">
        <v>520694</v>
      </c>
      <c r="E77">
        <v>739553</v>
      </c>
      <c r="F77">
        <v>511011</v>
      </c>
      <c r="G77">
        <v>241311</v>
      </c>
      <c r="H77">
        <v>549023</v>
      </c>
      <c r="I77">
        <v>441137</v>
      </c>
      <c r="J77">
        <v>410716</v>
      </c>
      <c r="K77">
        <v>301830</v>
      </c>
      <c r="L77">
        <v>482959</v>
      </c>
      <c r="M77">
        <v>468478</v>
      </c>
    </row>
    <row r="78" spans="1:13" x14ac:dyDescent="0.2">
      <c r="A78">
        <v>2022</v>
      </c>
      <c r="B78">
        <v>516779</v>
      </c>
      <c r="C78">
        <v>556860</v>
      </c>
      <c r="D78">
        <v>492080</v>
      </c>
      <c r="E78">
        <v>649313</v>
      </c>
      <c r="F78">
        <v>370468</v>
      </c>
      <c r="G78">
        <v>474020</v>
      </c>
      <c r="H78">
        <v>542860</v>
      </c>
      <c r="I78">
        <v>401218</v>
      </c>
      <c r="J78">
        <v>379041</v>
      </c>
      <c r="K78">
        <v>404036</v>
      </c>
      <c r="L78">
        <v>427252</v>
      </c>
      <c r="M78">
        <v>246272</v>
      </c>
    </row>
    <row r="84" spans="1:12" x14ac:dyDescent="0.2">
      <c r="D84" s="12" t="s">
        <v>53</v>
      </c>
      <c r="E84" s="12"/>
      <c r="F84" s="12"/>
      <c r="G84" s="12"/>
    </row>
    <row r="85" spans="1:12" x14ac:dyDescent="0.2">
      <c r="A85" t="s">
        <v>77</v>
      </c>
      <c r="B85" t="s">
        <v>80</v>
      </c>
      <c r="C85" t="s">
        <v>24</v>
      </c>
      <c r="D85" t="s">
        <v>49</v>
      </c>
      <c r="E85" t="s">
        <v>50</v>
      </c>
      <c r="F85" t="s">
        <v>51</v>
      </c>
      <c r="G85" t="s">
        <v>52</v>
      </c>
      <c r="L85" t="s">
        <v>78</v>
      </c>
    </row>
    <row r="86" spans="1:12" x14ac:dyDescent="0.2">
      <c r="A86">
        <f t="shared" ref="A86:A93" si="0">$C$117*B86/1000</f>
        <v>726928.47499999998</v>
      </c>
      <c r="B86" s="1">
        <v>910</v>
      </c>
      <c r="C86" t="s">
        <v>23</v>
      </c>
      <c r="D86">
        <f>SUM(B5:D8)/4</f>
        <v>135756.625</v>
      </c>
      <c r="E86">
        <f>SUM(E5:G8)/4</f>
        <v>101216.97500000001</v>
      </c>
      <c r="F86">
        <f>SUM(H5:J8)/4</f>
        <v>101966.32499999998</v>
      </c>
      <c r="G86">
        <f>SUM(K5:M8)/4</f>
        <v>81962.125</v>
      </c>
      <c r="H86" t="str">
        <f>_xlfn.TEXTJOIN(",", TRUE, D86, E86, F86, G86)</f>
        <v>135756.625,101216.975,101966.325,81962.125</v>
      </c>
      <c r="L86">
        <f t="shared" ref="L86:L91" si="1">$C$152*$L$97*B86</f>
        <v>12502.717878087578</v>
      </c>
    </row>
    <row r="87" spans="1:12" x14ac:dyDescent="0.2">
      <c r="A87">
        <f t="shared" si="0"/>
        <v>1637586.125</v>
      </c>
      <c r="B87" s="1">
        <v>2050</v>
      </c>
      <c r="C87" t="s">
        <v>39</v>
      </c>
      <c r="D87">
        <f>SUM(B15:D18)/4</f>
        <v>603989.25</v>
      </c>
      <c r="E87">
        <f>SUM(E15:G18)/4</f>
        <v>461937.92500000005</v>
      </c>
      <c r="F87">
        <f>SUM(H15:J18)/4</f>
        <v>483683.25</v>
      </c>
      <c r="G87">
        <f>SUM(K15:M18)/4</f>
        <v>364889.02499999997</v>
      </c>
      <c r="H87" t="str">
        <f t="shared" ref="H87:H93" si="2">_xlfn.TEXTJOIN(",", TRUE, D87, E87, F87, G87)</f>
        <v>603989.25,461937.925,483683.25,364889.025</v>
      </c>
      <c r="L87">
        <f t="shared" si="1"/>
        <v>28165.463351735754</v>
      </c>
    </row>
    <row r="88" spans="1:12" x14ac:dyDescent="0.2">
      <c r="A88">
        <f t="shared" si="0"/>
        <v>1845279.9750000001</v>
      </c>
      <c r="B88" s="1">
        <v>2310</v>
      </c>
      <c r="C88" t="s">
        <v>41</v>
      </c>
      <c r="D88">
        <f>SUM(B25:D28)/4</f>
        <v>472581.25</v>
      </c>
      <c r="E88">
        <f>SUM(E25:G28)/4</f>
        <v>354581.44999999995</v>
      </c>
      <c r="F88">
        <f>SUM(H25:J28)/4</f>
        <v>362762.25</v>
      </c>
      <c r="G88">
        <f>SUM(K25:M28)/4</f>
        <v>282265.57500000001</v>
      </c>
      <c r="H88" t="str">
        <f t="shared" si="2"/>
        <v>472581.25,354581.45,362762.25,282265.575</v>
      </c>
      <c r="L88">
        <f t="shared" si="1"/>
        <v>31737.668459760775</v>
      </c>
    </row>
    <row r="89" spans="1:12" x14ac:dyDescent="0.2">
      <c r="A89">
        <f t="shared" si="0"/>
        <v>2396467.5</v>
      </c>
      <c r="B89" s="1">
        <v>3000</v>
      </c>
      <c r="C89" t="s">
        <v>43</v>
      </c>
      <c r="D89">
        <f>SUM(B35:D38)/4</f>
        <v>607253.75</v>
      </c>
      <c r="E89">
        <f>SUM(E35:G38)/4</f>
        <v>453880.02499999997</v>
      </c>
      <c r="F89">
        <f>SUM(H35:J38)/4</f>
        <v>468407</v>
      </c>
      <c r="G89">
        <f>SUM(K35:M38)/4</f>
        <v>360940.55</v>
      </c>
      <c r="H89" t="str">
        <f t="shared" si="2"/>
        <v>607253.75,453880.025,468407,360940.55</v>
      </c>
      <c r="L89">
        <f t="shared" si="1"/>
        <v>41217.751246442567</v>
      </c>
    </row>
    <row r="90" spans="1:12" x14ac:dyDescent="0.2">
      <c r="A90">
        <f t="shared" si="0"/>
        <v>1318057.125</v>
      </c>
      <c r="B90" s="1">
        <v>1650</v>
      </c>
      <c r="C90" t="s">
        <v>45</v>
      </c>
      <c r="D90">
        <f>SUM(B45:D48)/4</f>
        <v>641216</v>
      </c>
      <c r="E90">
        <f>SUM(E45:G48)/4</f>
        <v>507398.45</v>
      </c>
      <c r="F90">
        <f>SUM(H45:J48)/4</f>
        <v>565767</v>
      </c>
      <c r="G90">
        <f>SUM(K45:M48)/4</f>
        <v>403365.80000000005</v>
      </c>
      <c r="H90" t="str">
        <f t="shared" si="2"/>
        <v>641216,507398.45,565767,403365.8</v>
      </c>
      <c r="L90">
        <f t="shared" si="1"/>
        <v>22669.763185543412</v>
      </c>
    </row>
    <row r="91" spans="1:12" x14ac:dyDescent="0.2">
      <c r="A91">
        <f t="shared" si="0"/>
        <v>678999.125</v>
      </c>
      <c r="B91" s="1">
        <v>850</v>
      </c>
      <c r="C91" s="2" t="s">
        <v>47</v>
      </c>
      <c r="D91">
        <f>SUM(B55:D58)/4</f>
        <v>113092</v>
      </c>
      <c r="E91">
        <f>SUM(E55:G58)/4</f>
        <v>80781.349999999991</v>
      </c>
      <c r="F91">
        <f>SUM(H55:J58)/4</f>
        <v>82349.649999999994</v>
      </c>
      <c r="G91">
        <f>SUM(K55:M58)/4</f>
        <v>63238.25</v>
      </c>
      <c r="H91" t="str">
        <f t="shared" si="2"/>
        <v>113092,80781.35,82349.65,63238.25</v>
      </c>
      <c r="L91">
        <f t="shared" si="1"/>
        <v>11678.362853158727</v>
      </c>
    </row>
    <row r="92" spans="1:12" x14ac:dyDescent="0.2">
      <c r="A92">
        <f t="shared" si="0"/>
        <v>2875761</v>
      </c>
      <c r="B92">
        <v>3600</v>
      </c>
      <c r="C92" t="s">
        <v>85</v>
      </c>
      <c r="D92">
        <f>SUM(B65:D68)/4</f>
        <v>898944.25</v>
      </c>
      <c r="E92">
        <f>SUM(E65:G68)/4</f>
        <v>688793.5</v>
      </c>
      <c r="F92">
        <f>SUM(H65:J68)/4</f>
        <v>719432.75</v>
      </c>
      <c r="G92">
        <f>SUM(K65:M68)/4</f>
        <v>549341.25</v>
      </c>
      <c r="H92" t="str">
        <f t="shared" si="2"/>
        <v>898944.25,688793.5,719432.75,549341.25</v>
      </c>
      <c r="L92">
        <f t="shared" ref="L92" si="3">$C$152*$L$97*B92</f>
        <v>49461.301495731081</v>
      </c>
    </row>
    <row r="93" spans="1:12" x14ac:dyDescent="0.2">
      <c r="A93">
        <f t="shared" si="0"/>
        <v>3594701.25</v>
      </c>
      <c r="B93">
        <v>4500</v>
      </c>
      <c r="C93" t="s">
        <v>86</v>
      </c>
      <c r="D93">
        <f>SUM(B75:D78)/4</f>
        <v>1633809.25</v>
      </c>
      <c r="E93">
        <f>SUM(E75:G78)/4</f>
        <v>1277711.5</v>
      </c>
      <c r="F93">
        <f>SUM(H75:J78)/4</f>
        <v>1373549</v>
      </c>
      <c r="G93">
        <f>SUM(K75:M78)/4</f>
        <v>1016046.5</v>
      </c>
      <c r="H93" t="str">
        <f t="shared" si="2"/>
        <v>1633809.25,1277711.5,1373549,1016046.5</v>
      </c>
      <c r="L93">
        <f>$C$152*$L$97*B93</f>
        <v>61826.626869663851</v>
      </c>
    </row>
    <row r="96" spans="1:12" x14ac:dyDescent="0.2">
      <c r="L96" t="s">
        <v>79</v>
      </c>
    </row>
    <row r="97" spans="2:12" x14ac:dyDescent="0.2">
      <c r="B97" t="s">
        <v>25</v>
      </c>
      <c r="C97" t="s">
        <v>24</v>
      </c>
      <c r="D97" t="s">
        <v>49</v>
      </c>
      <c r="E97" t="s">
        <v>50</v>
      </c>
      <c r="F97" t="s">
        <v>51</v>
      </c>
      <c r="G97" t="s">
        <v>52</v>
      </c>
      <c r="L97">
        <v>1.0756600000000001</v>
      </c>
    </row>
    <row r="98" spans="2:12" x14ac:dyDescent="0.2">
      <c r="B98" s="1">
        <v>910</v>
      </c>
      <c r="C98" t="s">
        <v>23</v>
      </c>
      <c r="D98">
        <f>D86/$B98</f>
        <v>149.1831043956044</v>
      </c>
      <c r="E98">
        <f t="shared" ref="E98:F98" si="4">E86/$B98</f>
        <v>111.22744505494506</v>
      </c>
      <c r="F98">
        <f t="shared" si="4"/>
        <v>112.05090659340658</v>
      </c>
      <c r="G98">
        <f>G86/$B98</f>
        <v>90.068269230769232</v>
      </c>
    </row>
    <row r="99" spans="2:12" x14ac:dyDescent="0.2">
      <c r="B99" s="1">
        <v>2050</v>
      </c>
      <c r="C99" t="s">
        <v>39</v>
      </c>
      <c r="D99">
        <f t="shared" ref="D99:G99" si="5">D87/$B99</f>
        <v>294.62890243902439</v>
      </c>
      <c r="E99">
        <f t="shared" si="5"/>
        <v>225.33557317073172</v>
      </c>
      <c r="F99">
        <f t="shared" si="5"/>
        <v>235.9430487804878</v>
      </c>
      <c r="G99">
        <f t="shared" si="5"/>
        <v>177.99464634146341</v>
      </c>
    </row>
    <row r="100" spans="2:12" x14ac:dyDescent="0.2">
      <c r="B100" s="1">
        <v>2310</v>
      </c>
      <c r="C100" t="s">
        <v>41</v>
      </c>
      <c r="D100">
        <f t="shared" ref="D100:G100" si="6">D88/$B100</f>
        <v>204.58062770562771</v>
      </c>
      <c r="E100">
        <f t="shared" si="6"/>
        <v>153.49846320346319</v>
      </c>
      <c r="F100">
        <f t="shared" si="6"/>
        <v>157.03993506493507</v>
      </c>
      <c r="G100">
        <f t="shared" si="6"/>
        <v>122.19288961038961</v>
      </c>
    </row>
    <row r="101" spans="2:12" x14ac:dyDescent="0.2">
      <c r="B101" s="1">
        <v>3000</v>
      </c>
      <c r="C101" t="s">
        <v>43</v>
      </c>
      <c r="D101">
        <f t="shared" ref="D101:G101" si="7">D89/$B101</f>
        <v>202.41791666666666</v>
      </c>
      <c r="E101">
        <f t="shared" si="7"/>
        <v>151.29334166666666</v>
      </c>
      <c r="F101">
        <f t="shared" si="7"/>
        <v>156.13566666666668</v>
      </c>
      <c r="G101">
        <f t="shared" si="7"/>
        <v>120.31351666666666</v>
      </c>
    </row>
    <row r="102" spans="2:12" x14ac:dyDescent="0.2">
      <c r="B102" s="1">
        <v>1650</v>
      </c>
      <c r="C102" t="s">
        <v>45</v>
      </c>
      <c r="D102">
        <f t="shared" ref="D102:G102" si="8">D90/$B102</f>
        <v>388.61575757575758</v>
      </c>
      <c r="E102">
        <f t="shared" si="8"/>
        <v>307.51421212121215</v>
      </c>
      <c r="F102">
        <f t="shared" si="8"/>
        <v>342.8890909090909</v>
      </c>
      <c r="G102">
        <f t="shared" si="8"/>
        <v>244.46412121212123</v>
      </c>
    </row>
    <row r="103" spans="2:12" x14ac:dyDescent="0.2">
      <c r="B103" s="1">
        <v>850</v>
      </c>
      <c r="C103" s="2" t="s">
        <v>47</v>
      </c>
      <c r="D103">
        <f t="shared" ref="D103:F103" si="9">D91/$B103</f>
        <v>133.04941176470589</v>
      </c>
      <c r="E103">
        <f t="shared" si="9"/>
        <v>95.036882352941163</v>
      </c>
      <c r="F103">
        <f t="shared" si="9"/>
        <v>96.881941176470576</v>
      </c>
      <c r="G103">
        <f>G91/$B103</f>
        <v>74.397941176470582</v>
      </c>
    </row>
    <row r="112" spans="2:12" x14ac:dyDescent="0.2">
      <c r="B112" s="14" t="s">
        <v>84</v>
      </c>
      <c r="C112" s="14"/>
      <c r="D112" s="14"/>
      <c r="E112" s="14"/>
    </row>
    <row r="113" spans="1:11" x14ac:dyDescent="0.2">
      <c r="F113" t="s">
        <v>72</v>
      </c>
      <c r="G113" t="s">
        <v>73</v>
      </c>
      <c r="H113" t="s">
        <v>74</v>
      </c>
      <c r="I113" s="12" t="s">
        <v>75</v>
      </c>
      <c r="J113" s="12"/>
      <c r="K113" s="12"/>
    </row>
    <row r="114" spans="1:11" x14ac:dyDescent="0.2">
      <c r="A114" t="s">
        <v>92</v>
      </c>
      <c r="B114" t="s">
        <v>60</v>
      </c>
      <c r="C114">
        <v>21722000</v>
      </c>
      <c r="F114">
        <v>16000000</v>
      </c>
      <c r="G114">
        <v>3171740</v>
      </c>
      <c r="H114">
        <v>1650000</v>
      </c>
      <c r="I114" s="13">
        <v>900000</v>
      </c>
      <c r="J114" s="13"/>
      <c r="K114" s="13"/>
    </row>
    <row r="115" spans="1:11" x14ac:dyDescent="0.2">
      <c r="A115" t="s">
        <v>92</v>
      </c>
      <c r="B115" t="s">
        <v>61</v>
      </c>
      <c r="C115">
        <f>C114/24</f>
        <v>905083.33333333337</v>
      </c>
      <c r="D115" s="1" t="s">
        <v>65</v>
      </c>
    </row>
    <row r="116" spans="1:11" x14ac:dyDescent="0.2">
      <c r="A116" t="s">
        <v>93</v>
      </c>
      <c r="B116" t="s">
        <v>60</v>
      </c>
      <c r="C116">
        <f>F114+G114</f>
        <v>19171740</v>
      </c>
    </row>
    <row r="117" spans="1:11" x14ac:dyDescent="0.2">
      <c r="A117" t="s">
        <v>93</v>
      </c>
      <c r="B117" t="s">
        <v>61</v>
      </c>
      <c r="C117">
        <f>C116/24</f>
        <v>798822.5</v>
      </c>
    </row>
    <row r="118" spans="1:11" x14ac:dyDescent="0.2">
      <c r="G118">
        <f>1-(G114/(G114+F114))</f>
        <v>0.83456170384117456</v>
      </c>
    </row>
    <row r="119" spans="1:11" x14ac:dyDescent="0.2">
      <c r="G119">
        <f>1-2*(G114/(F114+G114))</f>
        <v>0.66912340768234913</v>
      </c>
      <c r="H119">
        <f>0.67</f>
        <v>0.67</v>
      </c>
    </row>
    <row r="120" spans="1:11" x14ac:dyDescent="0.2">
      <c r="B120" s="15" t="s">
        <v>62</v>
      </c>
      <c r="C120" s="15"/>
      <c r="G120">
        <f>G119/25</f>
        <v>2.6764936307293964E-2</v>
      </c>
      <c r="H120">
        <f>H119/25</f>
        <v>2.6800000000000001E-2</v>
      </c>
    </row>
    <row r="122" spans="1:11" x14ac:dyDescent="0.2">
      <c r="B122" t="s">
        <v>61</v>
      </c>
      <c r="C122">
        <v>922550</v>
      </c>
      <c r="D122" s="1" t="s">
        <v>63</v>
      </c>
      <c r="F122">
        <f>SUM(F114:K114)</f>
        <v>21721740</v>
      </c>
    </row>
    <row r="123" spans="1:11" x14ac:dyDescent="0.2">
      <c r="B123" t="s">
        <v>61</v>
      </c>
      <c r="C123">
        <f>C122*L97</f>
        <v>992350.13300000003</v>
      </c>
      <c r="D123" s="1" t="s">
        <v>65</v>
      </c>
      <c r="F123">
        <f>(F114+G114)/F122</f>
        <v>0.88260608956741038</v>
      </c>
    </row>
    <row r="125" spans="1:11" x14ac:dyDescent="0.2">
      <c r="B125" s="14" t="s">
        <v>64</v>
      </c>
      <c r="C125" s="14"/>
    </row>
    <row r="127" spans="1:11" x14ac:dyDescent="0.2">
      <c r="B127" t="s">
        <v>61</v>
      </c>
      <c r="C127">
        <v>310804.5</v>
      </c>
      <c r="D127" s="1" t="s">
        <v>63</v>
      </c>
    </row>
    <row r="128" spans="1:11" x14ac:dyDescent="0.2">
      <c r="B128" t="s">
        <v>61</v>
      </c>
      <c r="C128">
        <f>C127*L97</f>
        <v>334319.96847000002</v>
      </c>
      <c r="D128" s="1" t="s">
        <v>65</v>
      </c>
    </row>
    <row r="133" spans="2:9" x14ac:dyDescent="0.2">
      <c r="H133" s="4"/>
    </row>
    <row r="134" spans="2:9" ht="16" customHeight="1" x14ac:dyDescent="0.2">
      <c r="B134" s="12" t="s">
        <v>81</v>
      </c>
      <c r="C134" s="12"/>
      <c r="D134" s="12"/>
      <c r="H134" s="5"/>
      <c r="I134" s="5"/>
    </row>
    <row r="135" spans="2:9" ht="16" customHeight="1" x14ac:dyDescent="0.2">
      <c r="B135" s="8"/>
      <c r="C135" s="11" t="s">
        <v>82</v>
      </c>
      <c r="D135" s="9" t="s">
        <v>83</v>
      </c>
      <c r="H135" s="6"/>
      <c r="I135" s="7"/>
    </row>
    <row r="136" spans="2:9" x14ac:dyDescent="0.2">
      <c r="B136" s="10">
        <v>2008</v>
      </c>
      <c r="C136" s="7">
        <v>71.740857299243771</v>
      </c>
      <c r="D136" s="9"/>
      <c r="H136" s="6"/>
      <c r="I136" s="7"/>
    </row>
    <row r="137" spans="2:9" x14ac:dyDescent="0.2">
      <c r="B137" s="10">
        <v>2009</v>
      </c>
      <c r="C137" s="7">
        <v>69.888415432558389</v>
      </c>
      <c r="D137" s="9">
        <f>LN(C137/C136)</f>
        <v>-2.6160517193397299E-2</v>
      </c>
      <c r="H137" s="6"/>
      <c r="I137" s="7"/>
    </row>
    <row r="138" spans="2:9" x14ac:dyDescent="0.2">
      <c r="B138" s="10">
        <v>2010</v>
      </c>
      <c r="C138" s="7">
        <v>62.93535169148111</v>
      </c>
      <c r="D138" s="9">
        <f t="shared" ref="D138:D150" si="10">LN(C138/C137)</f>
        <v>-0.10479186902848212</v>
      </c>
      <c r="H138" s="6"/>
      <c r="I138" s="7"/>
    </row>
    <row r="139" spans="2:9" x14ac:dyDescent="0.2">
      <c r="B139" s="10">
        <v>2011</v>
      </c>
      <c r="C139" s="7">
        <v>66.433836808366976</v>
      </c>
      <c r="D139" s="9">
        <f t="shared" si="10"/>
        <v>5.4098481274815029E-2</v>
      </c>
      <c r="H139" s="6"/>
      <c r="I139" s="7"/>
    </row>
    <row r="140" spans="2:9" x14ac:dyDescent="0.2">
      <c r="B140" s="10">
        <v>2012</v>
      </c>
      <c r="C140" s="7">
        <v>45.124106043118374</v>
      </c>
      <c r="D140" s="9">
        <f t="shared" si="10"/>
        <v>-0.38678991139471014</v>
      </c>
      <c r="H140" s="6"/>
      <c r="I140" s="7"/>
    </row>
    <row r="141" spans="2:9" x14ac:dyDescent="0.2">
      <c r="B141" s="10">
        <v>2013</v>
      </c>
      <c r="C141" s="7">
        <v>63.346117847874872</v>
      </c>
      <c r="D141" s="9">
        <f t="shared" si="10"/>
        <v>0.33919701809916086</v>
      </c>
      <c r="H141" s="6"/>
      <c r="I141" s="7"/>
    </row>
    <row r="142" spans="2:9" x14ac:dyDescent="0.2">
      <c r="B142" s="10">
        <v>2014</v>
      </c>
      <c r="C142" s="7">
        <v>35.287203699362649</v>
      </c>
      <c r="D142" s="9">
        <f t="shared" si="10"/>
        <v>-0.58509322709191702</v>
      </c>
      <c r="H142" s="6"/>
      <c r="I142" s="7"/>
    </row>
    <row r="143" spans="2:9" x14ac:dyDescent="0.2">
      <c r="B143" s="10">
        <v>2015</v>
      </c>
      <c r="C143" s="7">
        <v>25.69618952009867</v>
      </c>
      <c r="D143" s="9">
        <f t="shared" si="10"/>
        <v>-0.31717768357724624</v>
      </c>
      <c r="H143" s="6"/>
      <c r="I143" s="7"/>
    </row>
    <row r="144" spans="2:9" x14ac:dyDescent="0.2">
      <c r="B144" s="10">
        <v>2016</v>
      </c>
      <c r="C144" s="7">
        <v>31.300854676277297</v>
      </c>
      <c r="D144" s="9">
        <f t="shared" si="10"/>
        <v>0.19730268991666705</v>
      </c>
      <c r="H144" s="6"/>
      <c r="I144" s="7"/>
    </row>
    <row r="145" spans="2:9" x14ac:dyDescent="0.2">
      <c r="B145" s="10">
        <v>2017</v>
      </c>
      <c r="C145" s="7">
        <v>24.553162386815192</v>
      </c>
      <c r="D145" s="9">
        <f t="shared" si="10"/>
        <v>-0.24280474305306415</v>
      </c>
      <c r="H145" s="6"/>
      <c r="I145" s="7"/>
    </row>
    <row r="146" spans="2:9" x14ac:dyDescent="0.2">
      <c r="B146" s="10">
        <v>2018</v>
      </c>
      <c r="C146" s="7">
        <v>21.272921972468328</v>
      </c>
      <c r="D146" s="9">
        <f t="shared" si="10"/>
        <v>-0.14340566500221763</v>
      </c>
      <c r="H146" s="6"/>
      <c r="I146" s="7"/>
    </row>
    <row r="147" spans="2:9" x14ac:dyDescent="0.2">
      <c r="B147" s="10">
        <v>2019</v>
      </c>
      <c r="C147" s="7">
        <v>18.366067363877619</v>
      </c>
      <c r="D147" s="9">
        <f t="shared" si="10"/>
        <v>-0.14693019802690385</v>
      </c>
      <c r="H147" s="6"/>
      <c r="I147" s="7"/>
    </row>
    <row r="148" spans="2:9" x14ac:dyDescent="0.2">
      <c r="B148" s="10">
        <v>2020</v>
      </c>
      <c r="C148" s="7">
        <v>20.000293309725464</v>
      </c>
      <c r="D148" s="9">
        <f t="shared" si="10"/>
        <v>8.5242141890254391E-2</v>
      </c>
      <c r="H148" s="6"/>
      <c r="I148" s="7"/>
    </row>
    <row r="149" spans="2:9" x14ac:dyDescent="0.2">
      <c r="B149" s="10">
        <v>2021</v>
      </c>
      <c r="C149" s="7">
        <v>16.160397699393901</v>
      </c>
      <c r="D149" s="9">
        <f t="shared" si="10"/>
        <v>-0.21318327603159284</v>
      </c>
      <c r="H149" s="6"/>
      <c r="I149" s="7"/>
    </row>
    <row r="150" spans="2:9" x14ac:dyDescent="0.2">
      <c r="B150" s="10">
        <v>2022</v>
      </c>
      <c r="C150" s="7">
        <v>15.847940714652479</v>
      </c>
      <c r="D150" s="9">
        <f t="shared" si="10"/>
        <v>-1.9524094384390369E-2</v>
      </c>
    </row>
    <row r="151" spans="2:9" x14ac:dyDescent="0.2">
      <c r="C151">
        <f>C150*$F$154</f>
        <v>14.227560105927731</v>
      </c>
    </row>
    <row r="152" spans="2:9" x14ac:dyDescent="0.2">
      <c r="C152">
        <f t="shared" ref="C152:C158" si="11">C151*$F$154</f>
        <v>12.772856121340251</v>
      </c>
    </row>
    <row r="153" spans="2:9" x14ac:dyDescent="0.2">
      <c r="C153">
        <f t="shared" si="11"/>
        <v>11.466889071759146</v>
      </c>
      <c r="F153">
        <f>AVERAGE(D137:D150)</f>
        <v>-0.10785863240021601</v>
      </c>
    </row>
    <row r="154" spans="2:9" x14ac:dyDescent="0.2">
      <c r="C154">
        <f t="shared" si="11"/>
        <v>10.294451275024008</v>
      </c>
      <c r="F154">
        <f>EXP(F153)</f>
        <v>0.89775450085911801</v>
      </c>
    </row>
    <row r="155" spans="2:9" x14ac:dyDescent="0.2">
      <c r="C155">
        <f t="shared" si="11"/>
        <v>9.2418899660276885</v>
      </c>
    </row>
    <row r="156" spans="2:9" x14ac:dyDescent="0.2">
      <c r="C156">
        <f t="shared" si="11"/>
        <v>8.2969483134460784</v>
      </c>
    </row>
    <row r="157" spans="2:9" x14ac:dyDescent="0.2">
      <c r="C157">
        <f t="shared" si="11"/>
        <v>7.4486226917916856</v>
      </c>
    </row>
    <row r="158" spans="2:9" x14ac:dyDescent="0.2">
      <c r="C158">
        <f t="shared" si="11"/>
        <v>6.6870345467573449</v>
      </c>
    </row>
  </sheetData>
  <mergeCells count="7">
    <mergeCell ref="I113:K113"/>
    <mergeCell ref="I114:K114"/>
    <mergeCell ref="B134:D134"/>
    <mergeCell ref="D84:G84"/>
    <mergeCell ref="B112:E112"/>
    <mergeCell ref="B120:C120"/>
    <mergeCell ref="B125:C1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165-A228-534D-890C-7BD6A0C7E246}">
  <dimension ref="A1:J27"/>
  <sheetViews>
    <sheetView zoomScale="82" workbookViewId="0">
      <selection activeCell="H32" sqref="H32"/>
    </sheetView>
  </sheetViews>
  <sheetFormatPr baseColWidth="10" defaultRowHeight="16" x14ac:dyDescent="0.2"/>
  <cols>
    <col min="2" max="2" width="28.5" bestFit="1" customWidth="1"/>
    <col min="5" max="5" width="17.1640625" bestFit="1" customWidth="1"/>
    <col min="10" max="10" width="28.5" bestFit="1" customWidth="1"/>
  </cols>
  <sheetData>
    <row r="1" spans="1:10" x14ac:dyDescent="0.2">
      <c r="A1" t="s">
        <v>104</v>
      </c>
      <c r="B1" t="s">
        <v>103</v>
      </c>
      <c r="H1" t="s">
        <v>109</v>
      </c>
      <c r="I1" t="s">
        <v>104</v>
      </c>
      <c r="J1" t="s">
        <v>103</v>
      </c>
    </row>
    <row r="2" spans="1:10" x14ac:dyDescent="0.2">
      <c r="A2">
        <v>2005</v>
      </c>
      <c r="B2">
        <v>2084.37</v>
      </c>
      <c r="I2">
        <v>2005</v>
      </c>
      <c r="J2">
        <v>2084.37</v>
      </c>
    </row>
    <row r="3" spans="1:10" x14ac:dyDescent="0.2">
      <c r="A3">
        <v>2006</v>
      </c>
      <c r="B3">
        <v>2126.31</v>
      </c>
      <c r="C3">
        <f>-LN(B3/B2)</f>
        <v>-1.9921431706305313E-2</v>
      </c>
      <c r="I3">
        <v>2006</v>
      </c>
      <c r="J3">
        <v>2126.31</v>
      </c>
    </row>
    <row r="4" spans="1:10" x14ac:dyDescent="0.2">
      <c r="A4">
        <v>2007</v>
      </c>
      <c r="B4">
        <v>2137.58</v>
      </c>
      <c r="C4">
        <f t="shared" ref="C4:C19" si="0">-LN(B4/B3)</f>
        <v>-5.2862650043141654E-3</v>
      </c>
      <c r="I4">
        <v>2007</v>
      </c>
      <c r="J4">
        <v>2137.58</v>
      </c>
    </row>
    <row r="5" spans="1:10" x14ac:dyDescent="0.2">
      <c r="A5">
        <v>2008</v>
      </c>
      <c r="B5">
        <v>2260.12</v>
      </c>
      <c r="C5">
        <f t="shared" si="0"/>
        <v>-5.5743561190718972E-2</v>
      </c>
      <c r="I5">
        <v>2008</v>
      </c>
      <c r="J5">
        <v>2260.12</v>
      </c>
    </row>
    <row r="6" spans="1:10" x14ac:dyDescent="0.2">
      <c r="A6">
        <v>2009</v>
      </c>
      <c r="B6">
        <v>2299.9899999999998</v>
      </c>
      <c r="C6">
        <f t="shared" si="0"/>
        <v>-1.748686587985197E-2</v>
      </c>
      <c r="I6">
        <v>2009</v>
      </c>
      <c r="J6">
        <v>2299.9899999999998</v>
      </c>
    </row>
    <row r="7" spans="1:10" x14ac:dyDescent="0.2">
      <c r="A7">
        <v>2010</v>
      </c>
      <c r="B7">
        <v>2173.08</v>
      </c>
      <c r="C7">
        <f t="shared" si="0"/>
        <v>5.6759259040450892E-2</v>
      </c>
      <c r="I7">
        <v>2010</v>
      </c>
      <c r="J7">
        <v>2173.08</v>
      </c>
    </row>
    <row r="8" spans="1:10" x14ac:dyDescent="0.2">
      <c r="A8">
        <v>2011</v>
      </c>
      <c r="B8">
        <v>2148.79</v>
      </c>
      <c r="C8">
        <f t="shared" si="0"/>
        <v>1.124062304334523E-2</v>
      </c>
      <c r="I8">
        <v>2011</v>
      </c>
      <c r="J8">
        <v>2148.79</v>
      </c>
    </row>
    <row r="9" spans="1:10" x14ac:dyDescent="0.2">
      <c r="A9">
        <v>2012</v>
      </c>
      <c r="B9">
        <v>2212.5500000000002</v>
      </c>
      <c r="C9">
        <f t="shared" si="0"/>
        <v>-2.9240803498884586E-2</v>
      </c>
      <c r="I9">
        <v>2012</v>
      </c>
      <c r="J9">
        <v>2212.5500000000002</v>
      </c>
    </row>
    <row r="10" spans="1:10" x14ac:dyDescent="0.2">
      <c r="A10">
        <v>2013</v>
      </c>
      <c r="B10">
        <v>2042.08</v>
      </c>
      <c r="C10">
        <f t="shared" si="0"/>
        <v>8.0176800262409961E-2</v>
      </c>
      <c r="I10">
        <v>2013</v>
      </c>
      <c r="J10">
        <v>2042.08</v>
      </c>
    </row>
    <row r="11" spans="1:10" x14ac:dyDescent="0.2">
      <c r="A11">
        <v>2014</v>
      </c>
      <c r="B11">
        <v>1995.33</v>
      </c>
      <c r="C11">
        <f t="shared" si="0"/>
        <v>2.3159446055892263E-2</v>
      </c>
      <c r="I11">
        <v>2014</v>
      </c>
      <c r="J11">
        <v>1995.33</v>
      </c>
    </row>
    <row r="12" spans="1:10" x14ac:dyDescent="0.2">
      <c r="A12">
        <v>2015</v>
      </c>
      <c r="B12">
        <v>1839.57</v>
      </c>
      <c r="C12">
        <f t="shared" si="0"/>
        <v>8.1277601538714855E-2</v>
      </c>
      <c r="I12">
        <v>2015</v>
      </c>
      <c r="J12">
        <v>1839.57</v>
      </c>
    </row>
    <row r="13" spans="1:10" x14ac:dyDescent="0.2">
      <c r="A13">
        <v>2016</v>
      </c>
      <c r="B13">
        <v>1828.81</v>
      </c>
      <c r="C13">
        <f t="shared" si="0"/>
        <v>5.8663665476852995E-3</v>
      </c>
      <c r="I13">
        <v>2016</v>
      </c>
      <c r="J13">
        <v>1828.81</v>
      </c>
    </row>
    <row r="14" spans="1:10" x14ac:dyDescent="0.2">
      <c r="A14">
        <v>2017</v>
      </c>
      <c r="B14">
        <v>1825.41</v>
      </c>
      <c r="C14">
        <f t="shared" si="0"/>
        <v>1.8608627729744384E-3</v>
      </c>
      <c r="I14">
        <v>2017</v>
      </c>
      <c r="J14">
        <v>1825.41</v>
      </c>
    </row>
    <row r="15" spans="1:10" x14ac:dyDescent="0.2">
      <c r="A15">
        <v>2018</v>
      </c>
      <c r="B15">
        <v>1740.75</v>
      </c>
      <c r="C15">
        <f t="shared" si="0"/>
        <v>4.748856449645749E-2</v>
      </c>
      <c r="I15">
        <v>2018</v>
      </c>
      <c r="J15">
        <v>1740.75</v>
      </c>
    </row>
    <row r="16" spans="1:10" x14ac:dyDescent="0.2">
      <c r="A16">
        <v>2019</v>
      </c>
      <c r="B16">
        <v>1653.1</v>
      </c>
      <c r="C16">
        <f t="shared" si="0"/>
        <v>5.1663741763689756E-2</v>
      </c>
      <c r="I16">
        <v>2019</v>
      </c>
      <c r="J16">
        <v>1653.1</v>
      </c>
    </row>
    <row r="17" spans="1:10" x14ac:dyDescent="0.2">
      <c r="A17">
        <v>2020</v>
      </c>
      <c r="B17">
        <v>1496.35</v>
      </c>
      <c r="C17">
        <f t="shared" si="0"/>
        <v>9.9623503669014887E-2</v>
      </c>
      <c r="I17">
        <v>2020</v>
      </c>
      <c r="J17">
        <v>1496.35</v>
      </c>
    </row>
    <row r="18" spans="1:10" x14ac:dyDescent="0.2">
      <c r="A18">
        <v>2021</v>
      </c>
      <c r="B18">
        <v>1418.18</v>
      </c>
      <c r="C18">
        <f t="shared" si="0"/>
        <v>5.3654450002797408E-2</v>
      </c>
      <c r="I18">
        <v>2021</v>
      </c>
      <c r="J18">
        <v>1418.18</v>
      </c>
    </row>
    <row r="19" spans="1:10" x14ac:dyDescent="0.2">
      <c r="A19">
        <v>2022</v>
      </c>
      <c r="B19">
        <v>1274.19</v>
      </c>
      <c r="C19">
        <f t="shared" si="0"/>
        <v>0.10706367679709121</v>
      </c>
      <c r="E19" t="s">
        <v>105</v>
      </c>
      <c r="F19">
        <f>AVERAGE(C:C)</f>
        <v>2.895035110061463E-2</v>
      </c>
      <c r="I19">
        <v>2022</v>
      </c>
      <c r="J19">
        <v>1274.19</v>
      </c>
    </row>
    <row r="20" spans="1:10" x14ac:dyDescent="0.2">
      <c r="E20" t="s">
        <v>106</v>
      </c>
      <c r="F20">
        <f>EXP(-F19)</f>
        <v>0.97146469542220748</v>
      </c>
      <c r="I20">
        <v>2023</v>
      </c>
      <c r="J20">
        <f>$F$26*J19</f>
        <v>1223.0826720057416</v>
      </c>
    </row>
    <row r="21" spans="1:10" x14ac:dyDescent="0.2">
      <c r="E21" t="s">
        <v>107</v>
      </c>
      <c r="F21">
        <f>F20^5</f>
        <v>0.86523705679057306</v>
      </c>
      <c r="I21">
        <v>2024</v>
      </c>
      <c r="J21">
        <f t="shared" ref="J21:J27" si="1">$F$26*J20</f>
        <v>1174.0252415736306</v>
      </c>
    </row>
    <row r="22" spans="1:10" x14ac:dyDescent="0.2">
      <c r="I22">
        <v>2025</v>
      </c>
      <c r="J22">
        <f t="shared" si="1"/>
        <v>1126.9354880089018</v>
      </c>
    </row>
    <row r="23" spans="1:10" x14ac:dyDescent="0.2">
      <c r="I23">
        <v>2026</v>
      </c>
      <c r="J23">
        <f t="shared" si="1"/>
        <v>1081.7344884609217</v>
      </c>
    </row>
    <row r="24" spans="1:10" x14ac:dyDescent="0.2">
      <c r="I24">
        <v>2027</v>
      </c>
      <c r="J24">
        <f t="shared" si="1"/>
        <v>1038.3464856477826</v>
      </c>
    </row>
    <row r="25" spans="1:10" x14ac:dyDescent="0.2">
      <c r="E25" t="s">
        <v>108</v>
      </c>
      <c r="F25">
        <f>AVERAGE(C6:C19)</f>
        <v>4.0936230472270511E-2</v>
      </c>
      <c r="I25">
        <v>2028</v>
      </c>
      <c r="J25">
        <f t="shared" si="1"/>
        <v>996.69876088641524</v>
      </c>
    </row>
    <row r="26" spans="1:10" x14ac:dyDescent="0.2">
      <c r="E26" t="s">
        <v>106</v>
      </c>
      <c r="F26">
        <f>EXP(-F25)</f>
        <v>0.95989033974975602</v>
      </c>
      <c r="I26">
        <v>2029</v>
      </c>
      <c r="J26">
        <f t="shared" si="1"/>
        <v>956.72151221542197</v>
      </c>
    </row>
    <row r="27" spans="1:10" x14ac:dyDescent="0.2">
      <c r="E27" t="s">
        <v>107</v>
      </c>
      <c r="F27">
        <f>F26^5</f>
        <v>0.81490710619906181</v>
      </c>
      <c r="I27">
        <v>2030</v>
      </c>
      <c r="J27">
        <f t="shared" si="1"/>
        <v>918.34773740636172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values</vt:lpstr>
      <vt:lpstr>Initial values season</vt:lpstr>
      <vt:lpstr>Advancements1</vt:lpstr>
      <vt:lpstr>Extras1</vt:lpstr>
      <vt:lpstr>Extras2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2024-11-19T15:22:29Z</dcterms:modified>
</cp:coreProperties>
</file>